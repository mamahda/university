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<sst xmlns="http://schemas.openxmlformats.org/spreadsheetml/2006/main" count="156" uniqueCount="29">
  <si>
    <t xml:space="preserve">Clustering Buah</t>
  </si>
  <si>
    <t xml:space="preserve">No</t>
  </si>
  <si>
    <t xml:space="preserve">Diameter (cm)</t>
  </si>
  <si>
    <t xml:space="preserve">Berat (g)</t>
  </si>
  <si>
    <t xml:space="preserve">Initial Centroid 1</t>
  </si>
  <si>
    <t xml:space="preserve">ITERASI 1</t>
  </si>
  <si>
    <t xml:space="preserve">ITERASI 2</t>
  </si>
  <si>
    <t xml:space="preserve">ITERASI 3</t>
  </si>
  <si>
    <t xml:space="preserve">ITERASI 4</t>
  </si>
  <si>
    <t xml:space="preserve">ITERASI 5</t>
  </si>
  <si>
    <t xml:space="preserve">ITERASI 6</t>
  </si>
  <si>
    <t xml:space="preserve">Step 1</t>
  </si>
  <si>
    <t xml:space="preserve">Individual</t>
  </si>
  <si>
    <t xml:space="preserve">Mean of vector (centroid)</t>
  </si>
  <si>
    <t xml:space="preserve">Cluster 1</t>
  </si>
  <si>
    <t xml:space="preserve">Cluster 2</t>
  </si>
  <si>
    <t xml:space="preserve">Step 2</t>
  </si>
  <si>
    <t xml:space="preserve">- Calculate the distance data to centroids</t>
  </si>
  <si>
    <t xml:space="preserve">Data ke</t>
  </si>
  <si>
    <t xml:space="preserve">Centroid 1</t>
  </si>
  <si>
    <t xml:space="preserve">Centroid 2</t>
  </si>
  <si>
    <t xml:space="preserve">Cluster</t>
  </si>
  <si>
    <t xml:space="preserve">- Assign data to nearest clusters</t>
  </si>
  <si>
    <t xml:space="preserve">Step</t>
  </si>
  <si>
    <t xml:space="preserve">Clusters 1</t>
  </si>
  <si>
    <t xml:space="preserve">Clusters 2</t>
  </si>
  <si>
    <t xml:space="preserve">Data</t>
  </si>
  <si>
    <t xml:space="preserve">Centroid</t>
  </si>
  <si>
    <t xml:space="preserve">Step 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</si>
</sst>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DDDDD"/>
        <bgColor rgb="FFCCFFCC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4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83"/>
  <sheetViews>
    <sheetView showFormulas="false" showGridLines="true" showRowColHeaders="true" showZeros="true" rightToLeft="false" tabSelected="true" showOutlineSymbols="true" defaultGridColor="true" view="normal" topLeftCell="X18" colorId="64" zoomScale="75" zoomScaleNormal="75" zoomScalePageLayoutView="100" workbookViewId="0">
      <selection pane="topLeft" activeCell="AB24" activeCellId="0" sqref="1:1048576"/>
    </sheetView>
  </sheetViews>
  <sheetFormatPr defaultColWidth="14.421875" defaultRowHeight="18.75" customHeight="true" zeroHeight="false" outlineLevelRow="0" outlineLevelCol="0"/>
  <cols>
    <col collapsed="false" customWidth="true" hidden="false" outlineLevel="0" max="1" min="1" style="1" width="4.76"/>
    <col collapsed="false" customWidth="false" hidden="false" outlineLevel="0" max="3" min="2" style="1" width="14.42"/>
    <col collapsed="false" customWidth="false" hidden="false" outlineLevel="0" max="5" min="4" style="2" width="14.42"/>
    <col collapsed="false" customWidth="true" hidden="false" outlineLevel="0" max="6" min="6" style="2" width="42.44"/>
    <col collapsed="false" customWidth="false" hidden="false" outlineLevel="0" max="10" min="7" style="2" width="14.42"/>
    <col collapsed="false" customWidth="true" hidden="false" outlineLevel="0" max="11" min="11" style="2" width="20.79"/>
    <col collapsed="false" customWidth="false" hidden="false" outlineLevel="0" max="13" min="12" style="2" width="14.42"/>
    <col collapsed="false" customWidth="true" hidden="false" outlineLevel="0" max="14" min="14" style="2" width="33.03"/>
    <col collapsed="false" customWidth="false" hidden="false" outlineLevel="0" max="18" min="15" style="2" width="14.42"/>
    <col collapsed="false" customWidth="true" hidden="false" outlineLevel="0" max="19" min="19" style="2" width="21.9"/>
    <col collapsed="false" customWidth="false" hidden="false" outlineLevel="0" max="21" min="20" style="2" width="14.42"/>
    <col collapsed="false" customWidth="true" hidden="false" outlineLevel="0" max="22" min="22" style="2" width="29.03"/>
    <col collapsed="false" customWidth="false" hidden="false" outlineLevel="0" max="26" min="23" style="2" width="14.42"/>
    <col collapsed="false" customWidth="true" hidden="false" outlineLevel="0" max="27" min="27" style="2" width="29.75"/>
    <col collapsed="false" customWidth="false" hidden="false" outlineLevel="0" max="29" min="28" style="2" width="14.42"/>
    <col collapsed="false" customWidth="true" hidden="false" outlineLevel="0" max="30" min="30" style="2" width="30.29"/>
    <col collapsed="false" customWidth="false" hidden="false" outlineLevel="0" max="34" min="31" style="2" width="14.42"/>
    <col collapsed="false" customWidth="true" hidden="false" outlineLevel="0" max="35" min="35" style="2" width="29.2"/>
    <col collapsed="false" customWidth="false" hidden="false" outlineLevel="0" max="37" min="36" style="2" width="14.42"/>
    <col collapsed="false" customWidth="true" hidden="false" outlineLevel="0" max="38" min="38" style="2" width="25.59"/>
    <col collapsed="false" customWidth="false" hidden="false" outlineLevel="0" max="42" min="39" style="2" width="14.42"/>
    <col collapsed="false" customWidth="true" hidden="false" outlineLevel="0" max="43" min="43" style="2" width="29.75"/>
    <col collapsed="false" customWidth="false" hidden="false" outlineLevel="0" max="45" min="44" style="2" width="14.42"/>
    <col collapsed="false" customWidth="true" hidden="false" outlineLevel="0" max="46" min="46" style="2" width="25.9"/>
    <col collapsed="false" customWidth="false" hidden="false" outlineLevel="0" max="16384" min="47" style="2" width="14.42"/>
  </cols>
  <sheetData>
    <row r="1" s="2" customFormat="true" ht="18.75" hidden="false" customHeight="true" outlineLevel="0" collapsed="false"/>
    <row r="2" s="2" customFormat="true" ht="18.75" hidden="false" customHeight="true" outlineLevel="0" collapsed="false">
      <c r="B2" s="3" t="s">
        <v>0</v>
      </c>
      <c r="C2" s="3"/>
      <c r="D2" s="3"/>
    </row>
    <row r="3" s="2" customFormat="true" ht="18.75" hidden="false" customHeight="true" outlineLevel="0" collapsed="false">
      <c r="B3" s="4" t="s">
        <v>1</v>
      </c>
      <c r="C3" s="4" t="s">
        <v>2</v>
      </c>
      <c r="D3" s="4" t="s">
        <v>3</v>
      </c>
    </row>
    <row r="4" s="2" customFormat="true" ht="18.75" hidden="false" customHeight="true" outlineLevel="0" collapsed="false">
      <c r="B4" s="5" t="n">
        <v>1</v>
      </c>
      <c r="C4" s="6" t="n">
        <v>5</v>
      </c>
      <c r="D4" s="6" t="n">
        <v>140</v>
      </c>
      <c r="E4" s="7" t="s">
        <v>4</v>
      </c>
    </row>
    <row r="5" s="2" customFormat="true" ht="18.75" hidden="false" customHeight="true" outlineLevel="0" collapsed="false">
      <c r="B5" s="8" t="n">
        <v>2</v>
      </c>
      <c r="C5" s="9" t="n">
        <v>6</v>
      </c>
      <c r="D5" s="9" t="n">
        <v>150</v>
      </c>
    </row>
    <row r="6" s="2" customFormat="true" ht="18.75" hidden="false" customHeight="true" outlineLevel="0" collapsed="false">
      <c r="B6" s="8" t="n">
        <v>3</v>
      </c>
      <c r="C6" s="9" t="n">
        <v>6</v>
      </c>
      <c r="D6" s="9" t="n">
        <v>160</v>
      </c>
    </row>
    <row r="7" s="2" customFormat="true" ht="18.75" hidden="false" customHeight="true" outlineLevel="0" collapsed="false">
      <c r="B7" s="5" t="n">
        <v>4</v>
      </c>
      <c r="C7" s="6" t="n">
        <v>7</v>
      </c>
      <c r="D7" s="6" t="n">
        <v>170</v>
      </c>
      <c r="E7" s="7" t="s">
        <v>4</v>
      </c>
    </row>
    <row r="8" s="2" customFormat="true" ht="18.75" hidden="false" customHeight="true" outlineLevel="0" collapsed="false">
      <c r="B8" s="8" t="n">
        <v>5</v>
      </c>
      <c r="C8" s="9" t="n">
        <v>7</v>
      </c>
      <c r="D8" s="9" t="n">
        <v>180</v>
      </c>
    </row>
    <row r="9" s="2" customFormat="true" ht="18.75" hidden="false" customHeight="true" outlineLevel="0" collapsed="false">
      <c r="B9" s="8" t="n">
        <v>6</v>
      </c>
      <c r="C9" s="9" t="n">
        <v>8</v>
      </c>
      <c r="D9" s="9" t="n">
        <v>200</v>
      </c>
    </row>
    <row r="10" s="2" customFormat="true" ht="18.75" hidden="false" customHeight="true" outlineLevel="0" collapsed="false">
      <c r="B10" s="8" t="n">
        <v>7</v>
      </c>
      <c r="C10" s="9" t="n">
        <v>8</v>
      </c>
      <c r="D10" s="9" t="n">
        <v>210</v>
      </c>
    </row>
    <row r="11" s="2" customFormat="true" ht="18.75" hidden="false" customHeight="true" outlineLevel="0" collapsed="false">
      <c r="B11" s="8" t="n">
        <v>8</v>
      </c>
      <c r="C11" s="9" t="n">
        <v>9</v>
      </c>
      <c r="D11" s="9" t="n">
        <v>220</v>
      </c>
    </row>
    <row r="12" s="2" customFormat="true" ht="18.75" hidden="false" customHeight="true" outlineLevel="0" collapsed="false">
      <c r="B12" s="8" t="n">
        <v>9</v>
      </c>
      <c r="C12" s="9" t="n">
        <v>9</v>
      </c>
      <c r="D12" s="9" t="n">
        <v>230</v>
      </c>
    </row>
    <row r="13" s="2" customFormat="true" ht="18.75" hidden="false" customHeight="true" outlineLevel="0" collapsed="false">
      <c r="B13" s="8" t="n">
        <v>10</v>
      </c>
      <c r="C13" s="9" t="n">
        <v>10</v>
      </c>
      <c r="D13" s="9" t="n">
        <v>250</v>
      </c>
    </row>
    <row r="14" s="2" customFormat="true" ht="18.75" hidden="false" customHeight="true" outlineLevel="0" collapsed="false">
      <c r="B14" s="8" t="n">
        <v>11</v>
      </c>
      <c r="C14" s="9" t="n">
        <v>11</v>
      </c>
      <c r="D14" s="9" t="n">
        <v>280</v>
      </c>
    </row>
    <row r="15" s="2" customFormat="true" ht="18.75" hidden="false" customHeight="true" outlineLevel="0" collapsed="false">
      <c r="B15" s="8" t="n">
        <v>12</v>
      </c>
      <c r="C15" s="9" t="n">
        <v>12</v>
      </c>
      <c r="D15" s="9" t="n">
        <v>300</v>
      </c>
    </row>
    <row r="16" s="2" customFormat="true" ht="18.75" hidden="false" customHeight="true" outlineLevel="0" collapsed="false">
      <c r="B16" s="8" t="n">
        <v>13</v>
      </c>
      <c r="C16" s="9" t="n">
        <v>5</v>
      </c>
      <c r="D16" s="9" t="n">
        <v>130</v>
      </c>
    </row>
    <row r="17" s="2" customFormat="true" ht="18.75" hidden="false" customHeight="true" outlineLevel="0" collapsed="false">
      <c r="B17" s="8" t="n">
        <v>14</v>
      </c>
      <c r="C17" s="9" t="n">
        <v>6</v>
      </c>
      <c r="D17" s="9" t="n">
        <v>155</v>
      </c>
    </row>
    <row r="18" s="2" customFormat="true" ht="18.75" hidden="false" customHeight="true" outlineLevel="0" collapsed="false">
      <c r="B18" s="8" t="n">
        <v>15</v>
      </c>
      <c r="C18" s="9" t="n">
        <v>7</v>
      </c>
      <c r="D18" s="9" t="n">
        <v>175</v>
      </c>
    </row>
    <row r="19" s="2" customFormat="true" ht="18.75" hidden="false" customHeight="true" outlineLevel="0" collapsed="false">
      <c r="B19" s="8" t="n">
        <v>16</v>
      </c>
      <c r="C19" s="9" t="n">
        <v>8</v>
      </c>
      <c r="D19" s="9" t="n">
        <v>205</v>
      </c>
    </row>
    <row r="20" s="2" customFormat="true" ht="18.75" hidden="false" customHeight="true" outlineLevel="0" collapsed="false">
      <c r="B20" s="8" t="n">
        <v>17</v>
      </c>
      <c r="C20" s="9" t="n">
        <v>9</v>
      </c>
      <c r="D20" s="9" t="n">
        <v>240</v>
      </c>
    </row>
    <row r="21" s="2" customFormat="true" ht="18.75" hidden="false" customHeight="true" outlineLevel="0" collapsed="false">
      <c r="B21" s="8" t="n">
        <v>18</v>
      </c>
      <c r="C21" s="9" t="n">
        <v>10</v>
      </c>
      <c r="D21" s="9" t="n">
        <v>260</v>
      </c>
    </row>
    <row r="22" s="2" customFormat="true" ht="18.75" hidden="false" customHeight="true" outlineLevel="0" collapsed="false">
      <c r="B22" s="8" t="n">
        <v>19</v>
      </c>
      <c r="C22" s="9" t="n">
        <v>11</v>
      </c>
      <c r="D22" s="9" t="n">
        <v>290</v>
      </c>
    </row>
    <row r="23" customFormat="false" ht="18.75" hidden="false" customHeight="true" outlineLevel="0" collapsed="false">
      <c r="B23" s="8" t="n">
        <v>20</v>
      </c>
      <c r="C23" s="9" t="n">
        <v>12</v>
      </c>
      <c r="D23" s="9" t="n">
        <v>310</v>
      </c>
    </row>
    <row r="25" customFormat="false" ht="18.75" hidden="false" customHeight="true" outlineLevel="0" collapsed="false">
      <c r="B25" s="10" t="s">
        <v>5</v>
      </c>
      <c r="J25" s="10" t="s">
        <v>6</v>
      </c>
      <c r="K25" s="1"/>
      <c r="R25" s="10" t="s">
        <v>7</v>
      </c>
      <c r="S25" s="1"/>
      <c r="Z25" s="10" t="s">
        <v>8</v>
      </c>
      <c r="AA25" s="1"/>
      <c r="AH25" s="10" t="s">
        <v>9</v>
      </c>
      <c r="AI25" s="1"/>
      <c r="AP25" s="10" t="s">
        <v>10</v>
      </c>
      <c r="AQ25" s="1"/>
    </row>
    <row r="26" customFormat="false" ht="18.75" hidden="false" customHeight="true" outlineLevel="0" collapsed="false">
      <c r="A26" s="11"/>
      <c r="B26" s="10" t="s">
        <v>11</v>
      </c>
      <c r="J26" s="10" t="s">
        <v>11</v>
      </c>
      <c r="K26" s="1"/>
      <c r="R26" s="10" t="s">
        <v>11</v>
      </c>
      <c r="S26" s="1"/>
      <c r="Z26" s="10" t="s">
        <v>11</v>
      </c>
      <c r="AA26" s="1"/>
      <c r="AH26" s="10" t="s">
        <v>11</v>
      </c>
      <c r="AI26" s="1"/>
      <c r="AP26" s="10" t="s">
        <v>11</v>
      </c>
      <c r="AQ26" s="1"/>
    </row>
    <row r="27" customFormat="false" ht="18.75" hidden="false" customHeight="true" outlineLevel="0" collapsed="false">
      <c r="B27" s="12"/>
      <c r="C27" s="13" t="s">
        <v>12</v>
      </c>
      <c r="D27" s="13" t="s">
        <v>13</v>
      </c>
      <c r="E27" s="13"/>
      <c r="J27" s="12"/>
      <c r="K27" s="13" t="s">
        <v>12</v>
      </c>
      <c r="L27" s="13" t="s">
        <v>13</v>
      </c>
      <c r="M27" s="13"/>
      <c r="R27" s="12"/>
      <c r="S27" s="13" t="s">
        <v>12</v>
      </c>
      <c r="T27" s="13" t="s">
        <v>13</v>
      </c>
      <c r="U27" s="13"/>
      <c r="Z27" s="12"/>
      <c r="AA27" s="13" t="s">
        <v>12</v>
      </c>
      <c r="AB27" s="13" t="s">
        <v>13</v>
      </c>
      <c r="AC27" s="13"/>
      <c r="AH27" s="12"/>
      <c r="AI27" s="13" t="s">
        <v>12</v>
      </c>
      <c r="AJ27" s="13" t="s">
        <v>13</v>
      </c>
      <c r="AK27" s="13"/>
      <c r="AP27" s="12"/>
      <c r="AQ27" s="13" t="s">
        <v>12</v>
      </c>
      <c r="AR27" s="13" t="s">
        <v>13</v>
      </c>
      <c r="AS27" s="13"/>
    </row>
    <row r="28" customFormat="false" ht="18.75" hidden="false" customHeight="true" outlineLevel="0" collapsed="false">
      <c r="B28" s="12" t="s">
        <v>14</v>
      </c>
      <c r="C28" s="14" t="n">
        <v>1</v>
      </c>
      <c r="D28" s="15" t="n">
        <f aca="false">VLOOKUP(C28, B4:D23, 2, 0)</f>
        <v>5</v>
      </c>
      <c r="E28" s="15" t="n">
        <f aca="false">VLOOKUP(C28, B4:D23, 3, 0)</f>
        <v>140</v>
      </c>
      <c r="J28" s="12" t="s">
        <v>14</v>
      </c>
      <c r="K28" s="14" t="str">
        <f aca="false">C82</f>
        <v>1, 2, 13, 14</v>
      </c>
      <c r="L28" s="15" t="n">
        <f aca="false">D78</f>
        <v>5.5</v>
      </c>
      <c r="M28" s="15" t="n">
        <f aca="false">E78</f>
        <v>143.75</v>
      </c>
      <c r="R28" s="12" t="s">
        <v>14</v>
      </c>
      <c r="S28" s="14" t="str">
        <f aca="false">K82</f>
        <v>1, 2, 3, 4, 5, 13, 14, 15</v>
      </c>
      <c r="T28" s="15" t="n">
        <f aca="false">L78</f>
        <v>6.125</v>
      </c>
      <c r="U28" s="15" t="n">
        <f aca="false">M78</f>
        <v>157.5</v>
      </c>
      <c r="Z28" s="12" t="s">
        <v>14</v>
      </c>
      <c r="AA28" s="14" t="str">
        <f aca="false">S82</f>
        <v>1, 2, 3, 4, 5, 6, 13, 14, 15</v>
      </c>
      <c r="AB28" s="15" t="n">
        <f aca="false">T78</f>
        <v>6.33333333333333</v>
      </c>
      <c r="AC28" s="15" t="n">
        <f aca="false">U78</f>
        <v>162.222222222222</v>
      </c>
      <c r="AH28" s="12" t="s">
        <v>14</v>
      </c>
      <c r="AI28" s="14" t="str">
        <f aca="false">AA82</f>
        <v>1, 2, 3, 4, 5, 6, 13, 14, 15, 16</v>
      </c>
      <c r="AJ28" s="15" t="n">
        <f aca="false">AB78</f>
        <v>6.5</v>
      </c>
      <c r="AK28" s="15" t="n">
        <f aca="false">AC78</f>
        <v>166.5</v>
      </c>
      <c r="AP28" s="12" t="s">
        <v>14</v>
      </c>
      <c r="AQ28" s="14" t="str">
        <f aca="false">AI82</f>
        <v>1, 2, 3, 4, 5, 6, 7, 13, 14, 15, 16</v>
      </c>
      <c r="AR28" s="15" t="n">
        <f aca="false">AJ78</f>
        <v>6.63636363636364</v>
      </c>
      <c r="AS28" s="15" t="n">
        <f aca="false">AK78</f>
        <v>170.454545454545</v>
      </c>
    </row>
    <row r="29" customFormat="false" ht="47.35" hidden="false" customHeight="true" outlineLevel="0" collapsed="false">
      <c r="B29" s="12" t="s">
        <v>15</v>
      </c>
      <c r="C29" s="14" t="n">
        <v>4</v>
      </c>
      <c r="D29" s="15" t="n">
        <f aca="false">VLOOKUP(C29, B5:D24, 2, 0)</f>
        <v>7</v>
      </c>
      <c r="E29" s="15" t="n">
        <f aca="false">VLOOKUP(C29, B5:D24, 3, 0)</f>
        <v>170</v>
      </c>
      <c r="J29" s="12" t="s">
        <v>15</v>
      </c>
      <c r="K29" s="14" t="str">
        <f aca="false">C83</f>
        <v>3, 4, 5, 6, 7, 8, 9, 10, 11, 12, 15, 16, 17, 18, 19, 20</v>
      </c>
      <c r="L29" s="15" t="n">
        <f aca="false">G78</f>
        <v>9</v>
      </c>
      <c r="M29" s="15" t="n">
        <f aca="false">H78</f>
        <v>230</v>
      </c>
      <c r="R29" s="12" t="s">
        <v>15</v>
      </c>
      <c r="S29" s="14" t="str">
        <f aca="false">K83</f>
        <v>6, 7, 8, 9, 10, 11, 12, 16, 17, 18, 19, 20</v>
      </c>
      <c r="T29" s="15" t="n">
        <f aca="false">O78</f>
        <v>9.75</v>
      </c>
      <c r="U29" s="15" t="n">
        <f aca="false">P78</f>
        <v>249.583333333333</v>
      </c>
      <c r="Z29" s="12" t="s">
        <v>15</v>
      </c>
      <c r="AA29" s="14" t="str">
        <f aca="false">S83</f>
        <v>7, 8, 9, 10, 11, 12, 16, 17, 18, 19, 20</v>
      </c>
      <c r="AB29" s="15" t="n">
        <f aca="false">W78</f>
        <v>9.90909090909091</v>
      </c>
      <c r="AC29" s="15" t="n">
        <f aca="false">X78</f>
        <v>254.090909090909</v>
      </c>
      <c r="AH29" s="12" t="s">
        <v>15</v>
      </c>
      <c r="AI29" s="14" t="str">
        <f aca="false">AA83</f>
        <v>7, 8, 9, 10, 11, 12, 17, 18, 19, 20</v>
      </c>
      <c r="AJ29" s="15" t="n">
        <f aca="false">AE78</f>
        <v>10.1</v>
      </c>
      <c r="AK29" s="15" t="n">
        <f aca="false">AF78</f>
        <v>259</v>
      </c>
      <c r="AP29" s="12" t="s">
        <v>15</v>
      </c>
      <c r="AQ29" s="14" t="str">
        <f aca="false">AI83</f>
        <v>8, 9, 10, 11, 12, 17, 18, 19, 20</v>
      </c>
      <c r="AR29" s="15" t="n">
        <f aca="false">AM78</f>
        <v>10.3333333333333</v>
      </c>
      <c r="AS29" s="15" t="n">
        <f aca="false">AN78</f>
        <v>264.444444444444</v>
      </c>
    </row>
    <row r="30" customFormat="false" ht="18.75" hidden="false" customHeight="true" outlineLevel="0" collapsed="false">
      <c r="J30" s="1"/>
      <c r="K30" s="1"/>
      <c r="R30" s="1"/>
      <c r="S30" s="1"/>
      <c r="Z30" s="1"/>
      <c r="AA30" s="1"/>
      <c r="AH30" s="1"/>
      <c r="AI30" s="1"/>
      <c r="AP30" s="1"/>
      <c r="AQ30" s="1"/>
    </row>
    <row r="31" customFormat="false" ht="18.75" hidden="false" customHeight="true" outlineLevel="0" collapsed="false">
      <c r="B31" s="16" t="s">
        <v>16</v>
      </c>
      <c r="C31" s="2"/>
      <c r="J31" s="16" t="s">
        <v>16</v>
      </c>
      <c r="R31" s="16" t="s">
        <v>16</v>
      </c>
      <c r="Z31" s="16" t="s">
        <v>16</v>
      </c>
      <c r="AH31" s="16" t="s">
        <v>16</v>
      </c>
      <c r="AP31" s="16" t="s">
        <v>16</v>
      </c>
    </row>
    <row r="32" customFormat="false" ht="18.75" hidden="false" customHeight="true" outlineLevel="0" collapsed="false">
      <c r="B32" s="17" t="s">
        <v>17</v>
      </c>
      <c r="C32" s="2"/>
      <c r="J32" s="17" t="s">
        <v>17</v>
      </c>
      <c r="R32" s="17" t="s">
        <v>17</v>
      </c>
      <c r="Z32" s="17" t="s">
        <v>17</v>
      </c>
      <c r="AH32" s="17" t="s">
        <v>17</v>
      </c>
      <c r="AP32" s="17" t="s">
        <v>17</v>
      </c>
    </row>
    <row r="33" customFormat="false" ht="18.75" hidden="false" customHeight="true" outlineLevel="0" collapsed="false">
      <c r="B33" s="13" t="s">
        <v>18</v>
      </c>
      <c r="C33" s="13" t="s">
        <v>19</v>
      </c>
      <c r="D33" s="13" t="s">
        <v>20</v>
      </c>
      <c r="E33" s="18" t="s">
        <v>21</v>
      </c>
      <c r="J33" s="13" t="s">
        <v>18</v>
      </c>
      <c r="K33" s="13" t="s">
        <v>19</v>
      </c>
      <c r="L33" s="13" t="s">
        <v>20</v>
      </c>
      <c r="M33" s="18" t="s">
        <v>21</v>
      </c>
      <c r="R33" s="13" t="s">
        <v>18</v>
      </c>
      <c r="S33" s="13" t="s">
        <v>19</v>
      </c>
      <c r="T33" s="13" t="s">
        <v>20</v>
      </c>
      <c r="U33" s="18" t="s">
        <v>21</v>
      </c>
      <c r="Z33" s="13" t="s">
        <v>18</v>
      </c>
      <c r="AA33" s="13" t="s">
        <v>19</v>
      </c>
      <c r="AB33" s="13" t="s">
        <v>20</v>
      </c>
      <c r="AC33" s="18" t="s">
        <v>21</v>
      </c>
      <c r="AH33" s="13" t="s">
        <v>18</v>
      </c>
      <c r="AI33" s="13" t="s">
        <v>19</v>
      </c>
      <c r="AJ33" s="13" t="s">
        <v>20</v>
      </c>
      <c r="AK33" s="18" t="s">
        <v>21</v>
      </c>
      <c r="AP33" s="13" t="s">
        <v>18</v>
      </c>
      <c r="AQ33" s="13" t="s">
        <v>19</v>
      </c>
      <c r="AR33" s="13" t="s">
        <v>20</v>
      </c>
      <c r="AS33" s="18" t="s">
        <v>21</v>
      </c>
    </row>
    <row r="34" customFormat="false" ht="18.75" hidden="false" customHeight="true" outlineLevel="0" collapsed="false">
      <c r="B34" s="14" t="n">
        <v>1</v>
      </c>
      <c r="C34" s="19" t="n">
        <f aca="false">SQRT(SUM(POWER(C4-$D$28,2),POWER(D4-$E$28,2)))</f>
        <v>0</v>
      </c>
      <c r="D34" s="19" t="n">
        <f aca="false">SQRT(SUM(POWER(C4-$D$29,2),POWER(D4-$E$29,2)))</f>
        <v>30.0665927567458</v>
      </c>
      <c r="E34" s="14" t="n">
        <f aca="false">IF(C34&lt;=D34,1,2)</f>
        <v>1</v>
      </c>
      <c r="J34" s="14" t="n">
        <v>1</v>
      </c>
      <c r="K34" s="19" t="n">
        <f aca="false">SQRT(SUM(POWER(C4-$L$28,2),POWER(D4-$M$28,2)))</f>
        <v>3.78318648760539</v>
      </c>
      <c r="L34" s="19" t="n">
        <f aca="false">SQRT(SUM(POWER(C4-$L$29,2),POWER(D4-$M$29,2)))</f>
        <v>90.0888450364417</v>
      </c>
      <c r="M34" s="14" t="n">
        <f aca="false">IF(K34&lt;=L34,1,2)</f>
        <v>1</v>
      </c>
      <c r="R34" s="14" t="n">
        <v>1</v>
      </c>
      <c r="S34" s="19" t="n">
        <f aca="false">SQRT(SUM(POWER($C4-T$28,2),POWER($D4-U$28,2)))</f>
        <v>17.536123431363</v>
      </c>
      <c r="T34" s="19" t="n">
        <f aca="false">SQRT(SUM(POWER($C4-T$29,2),POWER($D4-U$29,2)))</f>
        <v>109.686231790706</v>
      </c>
      <c r="U34" s="14" t="n">
        <f aca="false">IF(S34&lt;=T34,1,2)</f>
        <v>1</v>
      </c>
      <c r="Z34" s="14" t="n">
        <v>1</v>
      </c>
      <c r="AA34" s="19" t="n">
        <f aca="false">SQRT(SUM(POWER($C4-AB$28,2),POWER($D4-AC$28,2)))</f>
        <v>22.2621862868768</v>
      </c>
      <c r="AB34" s="19" t="n">
        <f aca="false">SQRT(SUM(POWER($C4-AB$29,2),POWER($D4-AC$29,2)))</f>
        <v>114.196474160737</v>
      </c>
      <c r="AC34" s="14" t="n">
        <f aca="false">IF(AA34&lt;=AB34,1,2)</f>
        <v>1</v>
      </c>
      <c r="AH34" s="14" t="n">
        <v>1</v>
      </c>
      <c r="AI34" s="19" t="n">
        <f aca="false">SQRT(SUM(POWER($C4-AJ$28,2),POWER($D4-AK$28,2)))</f>
        <v>26.542418879974</v>
      </c>
      <c r="AJ34" s="19" t="n">
        <f aca="false">SQRT(SUM(POWER($C4-AJ$29,2),POWER($D4-AK$29,2)))</f>
        <v>119.109235578103</v>
      </c>
      <c r="AK34" s="14" t="n">
        <f aca="false">IF(AI34&lt;=AJ34,1,2)</f>
        <v>1</v>
      </c>
      <c r="AP34" s="14" t="n">
        <v>1</v>
      </c>
      <c r="AQ34" s="19" t="n">
        <f aca="false">SQRT(SUM(POWER($C4-AR$28,2),POWER($D4-AS$28,2)))</f>
        <v>30.498475778199</v>
      </c>
      <c r="AR34" s="19" t="n">
        <f aca="false">SQRT(SUM(POWER($C4-AR$29,2),POWER($D4-AS$29,2)))</f>
        <v>124.558677728735</v>
      </c>
      <c r="AS34" s="14" t="n">
        <f aca="false">IF(AQ34&lt;=AR34,1,2)</f>
        <v>1</v>
      </c>
    </row>
    <row r="35" customFormat="false" ht="18.75" hidden="false" customHeight="true" outlineLevel="0" collapsed="false">
      <c r="B35" s="14" t="n">
        <v>2</v>
      </c>
      <c r="C35" s="19" t="n">
        <f aca="false">SQRT(SUM(POWER(C5-$D$28,2),POWER(D5-$E$28,2)))</f>
        <v>10.0498756211209</v>
      </c>
      <c r="D35" s="19" t="n">
        <f aca="false">SQRT(SUM(POWER(C5-$D$29,2),POWER(D5-$E$29,2)))</f>
        <v>20.0249843945008</v>
      </c>
      <c r="E35" s="14" t="n">
        <f aca="false">IF(C35&lt;=D35,1,2)</f>
        <v>1</v>
      </c>
      <c r="J35" s="14" t="n">
        <v>2</v>
      </c>
      <c r="K35" s="19" t="n">
        <f aca="false">SQRT(SUM(POWER(C5-$L$28,2),POWER(D5-$M$28,2)))</f>
        <v>6.26996810199223</v>
      </c>
      <c r="L35" s="19" t="n">
        <f aca="false">SQRT(SUM(POWER(C5-$L$29,2),POWER(D5-$M$29,2)))</f>
        <v>80.0562302385017</v>
      </c>
      <c r="M35" s="14" t="n">
        <f aca="false">IF(K35&lt;=L35,1,2)</f>
        <v>1</v>
      </c>
      <c r="R35" s="14" t="n">
        <v>2</v>
      </c>
      <c r="S35" s="19" t="n">
        <f aca="false">SQRT(SUM(POWER($C5-T$28,2),POWER($D5-U$28,2)))</f>
        <v>7.50104159433875</v>
      </c>
      <c r="T35" s="19" t="n">
        <f aca="false">SQRT(SUM(POWER($C5-T$29,2),POWER($D5-U$29,2)))</f>
        <v>99.653915014804</v>
      </c>
      <c r="U35" s="14" t="n">
        <f aca="false">IF(S35&lt;=T35,1,2)</f>
        <v>1</v>
      </c>
      <c r="Z35" s="14" t="n">
        <v>2</v>
      </c>
      <c r="AA35" s="19" t="n">
        <f aca="false">SQRT(SUM(POWER($C5-AB$28,2),POWER($D5-AC$28,2)))</f>
        <v>12.2267668318527</v>
      </c>
      <c r="AB35" s="19" t="n">
        <f aca="false">SQRT(SUM(POWER($C5-AB$29,2),POWER($D5-AC$29,2)))</f>
        <v>104.16428537223</v>
      </c>
      <c r="AC35" s="14" t="n">
        <f aca="false">IF(AA35&lt;=AB35,1,2)</f>
        <v>1</v>
      </c>
      <c r="AH35" s="14" t="n">
        <v>2</v>
      </c>
      <c r="AI35" s="19" t="n">
        <f aca="false">SQRT(SUM(POWER($C5-AJ$28,2),POWER($D5-AK$28,2)))</f>
        <v>16.5075740192192</v>
      </c>
      <c r="AJ35" s="19" t="n">
        <f aca="false">SQRT(SUM(POWER($C5-AJ$29,2),POWER($D5-AK$29,2)))</f>
        <v>109.077082835947</v>
      </c>
      <c r="AK35" s="14" t="n">
        <f aca="false">IF(AI35&lt;=AJ35,1,2)</f>
        <v>1</v>
      </c>
      <c r="AP35" s="14" t="n">
        <v>2</v>
      </c>
      <c r="AQ35" s="19" t="n">
        <f aca="false">SQRT(SUM(POWER($C5-AR$28,2),POWER($D5-AS$28,2)))</f>
        <v>20.4644420502918</v>
      </c>
      <c r="AR35" s="19" t="n">
        <f aca="false">SQRT(SUM(POWER($C5-AR$29,2),POWER($D5-AS$29,2)))</f>
        <v>114.526453895924</v>
      </c>
      <c r="AS35" s="14" t="n">
        <f aca="false">IF(AQ35&lt;=AR35,1,2)</f>
        <v>1</v>
      </c>
    </row>
    <row r="36" customFormat="false" ht="18.75" hidden="false" customHeight="true" outlineLevel="0" collapsed="false">
      <c r="B36" s="14" t="n">
        <v>3</v>
      </c>
      <c r="C36" s="19" t="n">
        <f aca="false">SQRT(SUM(POWER(C6-$D$28,2),POWER(D6-$E$28,2)))</f>
        <v>20.0249843945008</v>
      </c>
      <c r="D36" s="19" t="n">
        <f aca="false">SQRT(SUM(POWER(C6-$D$29,2),POWER(D6-$E$29,2)))</f>
        <v>10.0498756211209</v>
      </c>
      <c r="E36" s="14" t="n">
        <f aca="false">IF(C36&lt;=D36,1,2)</f>
        <v>2</v>
      </c>
      <c r="J36" s="14" t="n">
        <v>3</v>
      </c>
      <c r="K36" s="19" t="n">
        <f aca="false">SQRT(SUM(POWER(C6-$L$28,2),POWER(D6-$M$28,2)))</f>
        <v>16.2576904878891</v>
      </c>
      <c r="L36" s="19" t="n">
        <f aca="false">SQRT(SUM(POWER(C6-$L$29,2),POWER(D6-$M$29,2)))</f>
        <v>70.0642562224134</v>
      </c>
      <c r="M36" s="14" t="n">
        <f aca="false">IF(K36&lt;=L36,1,2)</f>
        <v>1</v>
      </c>
      <c r="R36" s="14" t="n">
        <v>3</v>
      </c>
      <c r="S36" s="19" t="n">
        <f aca="false">SQRT(SUM(POWER($C6-T$28,2),POWER($D6-U$28,2)))</f>
        <v>2.5031230493126</v>
      </c>
      <c r="T36" s="19" t="n">
        <f aca="false">SQRT(SUM(POWER($C6-T$29,2),POWER($D6-U$29,2)))</f>
        <v>89.6617873517538</v>
      </c>
      <c r="U36" s="14" t="n">
        <f aca="false">IF(S36&lt;=T36,1,2)</f>
        <v>1</v>
      </c>
      <c r="Z36" s="14" t="n">
        <v>3</v>
      </c>
      <c r="AA36" s="19" t="n">
        <f aca="false">SQRT(SUM(POWER($C6-AB$28,2),POWER($D6-AC$28,2)))</f>
        <v>2.24708315735075</v>
      </c>
      <c r="AB36" s="19" t="n">
        <f aca="false">SQRT(SUM(POWER($C6-AB$29,2),POWER($D6-AC$29,2)))</f>
        <v>94.1720774183582</v>
      </c>
      <c r="AC36" s="14" t="n">
        <f aca="false">IF(AA36&lt;=AB36,1,2)</f>
        <v>1</v>
      </c>
      <c r="AH36" s="14" t="n">
        <v>3</v>
      </c>
      <c r="AI36" s="19" t="n">
        <f aca="false">SQRT(SUM(POWER($C6-AJ$28,2),POWER($D6-AK$28,2)))</f>
        <v>6.51920240520265</v>
      </c>
      <c r="AJ36" s="19" t="n">
        <f aca="false">SQRT(SUM(POWER($C6-AJ$29,2),POWER($D6-AK$29,2)))</f>
        <v>99.0848626178591</v>
      </c>
      <c r="AK36" s="14" t="n">
        <f aca="false">IF(AI36&lt;=AJ36,1,2)</f>
        <v>1</v>
      </c>
      <c r="AP36" s="14" t="n">
        <v>3</v>
      </c>
      <c r="AQ36" s="19" t="n">
        <f aca="false">SQRT(SUM(POWER($C6-AR$28,2),POWER($D6-AS$28,2)))</f>
        <v>10.4738951369031</v>
      </c>
      <c r="AR36" s="19" t="n">
        <f aca="false">SQRT(SUM(POWER($C6-AR$29,2),POWER($D6-AS$29,2)))</f>
        <v>104.534299409746</v>
      </c>
      <c r="AS36" s="14" t="n">
        <f aca="false">IF(AQ36&lt;=AR36,1,2)</f>
        <v>1</v>
      </c>
    </row>
    <row r="37" customFormat="false" ht="18.75" hidden="false" customHeight="true" outlineLevel="0" collapsed="false">
      <c r="B37" s="14" t="n">
        <v>4</v>
      </c>
      <c r="C37" s="19" t="n">
        <f aca="false">SQRT(SUM(POWER(C7-$D$28,2),POWER(D7-$E$28,2)))</f>
        <v>30.0665927567458</v>
      </c>
      <c r="D37" s="19" t="n">
        <f aca="false">SQRT(SUM(POWER(C7-$D$29,2),POWER(D7-$E$29,2)))</f>
        <v>0</v>
      </c>
      <c r="E37" s="14" t="n">
        <f aca="false">IF(C37&lt;=D37,1,2)</f>
        <v>2</v>
      </c>
      <c r="J37" s="14" t="n">
        <v>4</v>
      </c>
      <c r="K37" s="19" t="n">
        <f aca="false">SQRT(SUM(POWER(C7-$L$28,2),POWER(D7-$M$28,2)))</f>
        <v>26.2928222144372</v>
      </c>
      <c r="L37" s="19" t="n">
        <f aca="false">SQRT(SUM(POWER(C7-$L$29,2),POWER(D7-$M$29,2)))</f>
        <v>60.0333240792145</v>
      </c>
      <c r="M37" s="14" t="n">
        <f aca="false">IF(K37&lt;=L37,1,2)</f>
        <v>1</v>
      </c>
      <c r="R37" s="14" t="n">
        <v>4</v>
      </c>
      <c r="S37" s="19" t="n">
        <f aca="false">SQRT(SUM(POWER($C7-T$28,2),POWER($D7-U$28,2)))</f>
        <v>12.5305875760078</v>
      </c>
      <c r="T37" s="19" t="n">
        <f aca="false">SQRT(SUM(POWER($C7-T$29,2),POWER($D7-U$29,2)))</f>
        <v>79.6308322475939</v>
      </c>
      <c r="U37" s="14" t="n">
        <f aca="false">IF(S37&lt;=T37,1,2)</f>
        <v>1</v>
      </c>
      <c r="Z37" s="14" t="n">
        <v>4</v>
      </c>
      <c r="AA37" s="19" t="n">
        <f aca="false">SQRT(SUM(POWER($C7-AB$28,2),POWER($D7-AC$28,2)))</f>
        <v>7.80629692011124</v>
      </c>
      <c r="AB37" s="19" t="n">
        <f aca="false">SQRT(SUM(POWER($C7-AB$29,2),POWER($D7-AC$29,2)))</f>
        <v>84.1412134548397</v>
      </c>
      <c r="AC37" s="14" t="n">
        <f aca="false">IF(AA37&lt;=AB37,1,2)</f>
        <v>1</v>
      </c>
      <c r="AH37" s="14" t="n">
        <v>4</v>
      </c>
      <c r="AI37" s="19" t="n">
        <f aca="false">SQRT(SUM(POWER($C7-AJ$28,2),POWER($D7-AK$28,2)))</f>
        <v>3.53553390593274</v>
      </c>
      <c r="AJ37" s="19" t="n">
        <f aca="false">SQRT(SUM(POWER($C7-AJ$29,2),POWER($D7-AK$29,2)))</f>
        <v>89.053972398765</v>
      </c>
      <c r="AK37" s="14" t="n">
        <f aca="false">IF(AI37&lt;=AJ37,1,2)</f>
        <v>1</v>
      </c>
      <c r="AP37" s="14" t="n">
        <v>4</v>
      </c>
      <c r="AQ37" s="19" t="n">
        <f aca="false">SQRT(SUM(POWER($C7-AR$28,2),POWER($D7-AS$28,2)))</f>
        <v>0.582102203402996</v>
      </c>
      <c r="AR37" s="19" t="n">
        <f aca="false">SQRT(SUM(POWER($C7-AR$29,2),POWER($D7-AS$29,2)))</f>
        <v>94.5032496665108</v>
      </c>
      <c r="AS37" s="14" t="n">
        <f aca="false">IF(AQ37&lt;=AR37,1,2)</f>
        <v>1</v>
      </c>
    </row>
    <row r="38" customFormat="false" ht="18.75" hidden="false" customHeight="true" outlineLevel="0" collapsed="false">
      <c r="B38" s="14" t="n">
        <v>5</v>
      </c>
      <c r="C38" s="19" t="n">
        <f aca="false">SQRT(SUM(POWER(C8-$D$28,2),POWER(D8-$E$28,2)))</f>
        <v>40.0499687890016</v>
      </c>
      <c r="D38" s="19" t="n">
        <f aca="false">SQRT(SUM(POWER(C8-$D$29,2),POWER(D8-$E$29,2)))</f>
        <v>10</v>
      </c>
      <c r="E38" s="14" t="n">
        <f aca="false">IF(C38&lt;=D38,1,2)</f>
        <v>2</v>
      </c>
      <c r="J38" s="14" t="n">
        <v>5</v>
      </c>
      <c r="K38" s="19" t="n">
        <f aca="false">SQRT(SUM(POWER(C8-$L$28,2),POWER(D8-$M$28,2)))</f>
        <v>36.2810212094423</v>
      </c>
      <c r="L38" s="19" t="n">
        <f aca="false">SQRT(SUM(POWER(C8-$L$29,2),POWER(D8-$M$29,2)))</f>
        <v>50.0399840127872</v>
      </c>
      <c r="M38" s="14" t="n">
        <f aca="false">IF(K38&lt;=L38,1,2)</f>
        <v>1</v>
      </c>
      <c r="R38" s="14" t="n">
        <v>5</v>
      </c>
      <c r="S38" s="19" t="n">
        <f aca="false">SQRT(SUM(POWER($C8-T$28,2),POWER($D8-U$28,2)))</f>
        <v>22.5170074610282</v>
      </c>
      <c r="T38" s="19" t="n">
        <f aca="false">SQRT(SUM(POWER($C8-T$29,2),POWER($D8-U$29,2)))</f>
        <v>69.6376534482444</v>
      </c>
      <c r="U38" s="14" t="n">
        <f aca="false">IF(S38&lt;=T38,1,2)</f>
        <v>1</v>
      </c>
      <c r="Z38" s="14" t="n">
        <v>5</v>
      </c>
      <c r="AA38" s="19" t="n">
        <f aca="false">SQRT(SUM(POWER($C8-AB$28,2),POWER($D8-AC$28,2)))</f>
        <v>17.7902733863337</v>
      </c>
      <c r="AB38" s="19" t="n">
        <f aca="false">SQRT(SUM(POWER($C8-AB$29,2),POWER($D8-AC$29,2)))</f>
        <v>74.1479980837967</v>
      </c>
      <c r="AC38" s="14" t="n">
        <f aca="false">IF(AA38&lt;=AB38,1,2)</f>
        <v>1</v>
      </c>
      <c r="AH38" s="14" t="n">
        <v>5</v>
      </c>
      <c r="AI38" s="19" t="n">
        <f aca="false">SQRT(SUM(POWER($C8-AJ$28,2),POWER($D8-AK$28,2)))</f>
        <v>13.5092560861063</v>
      </c>
      <c r="AJ38" s="19" t="n">
        <f aca="false">SQRT(SUM(POWER($C8-AJ$29,2),POWER($D8-AK$29,2)))</f>
        <v>79.0607993888248</v>
      </c>
      <c r="AK38" s="14" t="n">
        <f aca="false">IF(AI38&lt;=AJ38,1,2)</f>
        <v>1</v>
      </c>
      <c r="AP38" s="14" t="n">
        <v>5</v>
      </c>
      <c r="AQ38" s="19" t="n">
        <f aca="false">SQRT(SUM(POWER($C8-AR$28,2),POWER($D8-AS$28,2)))</f>
        <v>9.55237844122066</v>
      </c>
      <c r="AR38" s="19" t="n">
        <f aca="false">SQRT(SUM(POWER($C8-AR$29,2),POWER($D8-AS$29,2)))</f>
        <v>84.5102083102508</v>
      </c>
      <c r="AS38" s="14" t="n">
        <f aca="false">IF(AQ38&lt;=AR38,1,2)</f>
        <v>1</v>
      </c>
    </row>
    <row r="39" customFormat="false" ht="18.75" hidden="false" customHeight="true" outlineLevel="0" collapsed="false">
      <c r="B39" s="14" t="n">
        <v>6</v>
      </c>
      <c r="C39" s="19" t="n">
        <f aca="false">SQRT(SUM(POWER(C9-$D$28,2),POWER(D9-$E$28,2)))</f>
        <v>60.0749531835024</v>
      </c>
      <c r="D39" s="19" t="n">
        <f aca="false">SQRT(SUM(POWER(C9-$D$29,2),POWER(D9-$E$29,2)))</f>
        <v>30.0166620396073</v>
      </c>
      <c r="E39" s="14" t="n">
        <f aca="false">IF(C39&lt;=D39,1,2)</f>
        <v>2</v>
      </c>
      <c r="J39" s="14" t="n">
        <v>6</v>
      </c>
      <c r="K39" s="19" t="n">
        <f aca="false">SQRT(SUM(POWER(C9-$L$28,2),POWER(D9-$M$28,2)))</f>
        <v>56.305528147776</v>
      </c>
      <c r="L39" s="19" t="n">
        <f aca="false">SQRT(SUM(POWER(C9-$L$29,2),POWER(D9-$M$29,2)))</f>
        <v>30.0166620396073</v>
      </c>
      <c r="M39" s="14" t="n">
        <f aca="false">IF(K39&lt;=L39,1,2)</f>
        <v>2</v>
      </c>
      <c r="R39" s="14" t="n">
        <v>6</v>
      </c>
      <c r="S39" s="19" t="n">
        <f aca="false">SQRT(SUM(POWER($C9-T$28,2),POWER($D9-U$28,2)))</f>
        <v>42.5413401881041</v>
      </c>
      <c r="T39" s="19" t="n">
        <f aca="false">SQRT(SUM(POWER($C9-T$29,2),POWER($D9-U$29,2)))</f>
        <v>49.6142060749182</v>
      </c>
      <c r="U39" s="14" t="n">
        <f aca="false">IF(S39&lt;=T39,1,2)</f>
        <v>1</v>
      </c>
      <c r="Z39" s="14" t="n">
        <v>6</v>
      </c>
      <c r="AA39" s="19" t="n">
        <f aca="false">SQRT(SUM(POWER($C9-AB$28,2),POWER($D9-AC$28,2)))</f>
        <v>37.8145246116481</v>
      </c>
      <c r="AB39" s="19" t="n">
        <f aca="false">SQRT(SUM(POWER($C9-AB$29,2),POWER($D9-AC$29,2)))</f>
        <v>54.1245884453653</v>
      </c>
      <c r="AC39" s="14" t="n">
        <f aca="false">IF(AA39&lt;=AB39,1,2)</f>
        <v>1</v>
      </c>
      <c r="AH39" s="14" t="n">
        <v>6</v>
      </c>
      <c r="AI39" s="19" t="n">
        <f aca="false">SQRT(SUM(POWER($C9-AJ$28,2),POWER($D9-AK$28,2)))</f>
        <v>33.5335652742144</v>
      </c>
      <c r="AJ39" s="19" t="n">
        <f aca="false">SQRT(SUM(POWER($C9-AJ$29,2),POWER($D9-AK$29,2)))</f>
        <v>59.0373610521338</v>
      </c>
      <c r="AK39" s="14" t="n">
        <f aca="false">IF(AI39&lt;=AJ39,1,2)</f>
        <v>1</v>
      </c>
      <c r="AP39" s="14" t="n">
        <v>6</v>
      </c>
      <c r="AQ39" s="19" t="n">
        <f aca="false">SQRT(SUM(POWER($C9-AR$28,2),POWER($D9-AS$28,2)))</f>
        <v>29.576906336359</v>
      </c>
      <c r="AR39" s="19" t="n">
        <f aca="false">SQRT(SUM(POWER($C9-AR$29,2),POWER($D9-AS$29,2)))</f>
        <v>64.48667198885</v>
      </c>
      <c r="AS39" s="14" t="n">
        <f aca="false">IF(AQ39&lt;=AR39,1,2)</f>
        <v>1</v>
      </c>
    </row>
    <row r="40" customFormat="false" ht="18.75" hidden="false" customHeight="true" outlineLevel="0" collapsed="false">
      <c r="B40" s="14" t="n">
        <v>7</v>
      </c>
      <c r="C40" s="19" t="n">
        <f aca="false">SQRT(SUM(POWER(C10-$D$28,2),POWER(D10-$E$28,2)))</f>
        <v>70.0642562224134</v>
      </c>
      <c r="D40" s="19" t="n">
        <f aca="false">SQRT(SUM(POWER(C10-$D$29,2),POWER(D10-$E$29,2)))</f>
        <v>40.0124980474851</v>
      </c>
      <c r="E40" s="14" t="n">
        <f aca="false">IF(C40&lt;=D40,1,2)</f>
        <v>2</v>
      </c>
      <c r="J40" s="14" t="n">
        <v>7</v>
      </c>
      <c r="K40" s="19" t="n">
        <f aca="false">SQRT(SUM(POWER(C10-$L$28,2),POWER(D10-$M$28,2)))</f>
        <v>66.2971530308806</v>
      </c>
      <c r="L40" s="19" t="n">
        <f aca="false">SQRT(SUM(POWER(C10-$L$29,2),POWER(D10-$M$29,2)))</f>
        <v>20.0249843945008</v>
      </c>
      <c r="M40" s="14" t="n">
        <f aca="false">IF(K40&lt;=L40,1,2)</f>
        <v>2</v>
      </c>
      <c r="R40" s="14" t="n">
        <v>7</v>
      </c>
      <c r="S40" s="19" t="n">
        <f aca="false">SQRT(SUM(POWER($C10-T$28,2),POWER($D10-U$28,2)))</f>
        <v>52.5334714729571</v>
      </c>
      <c r="T40" s="19" t="n">
        <f aca="false">SQRT(SUM(POWER($C10-T$29,2),POWER($D10-U$29,2)))</f>
        <v>39.621998659555</v>
      </c>
      <c r="U40" s="14" t="n">
        <f aca="false">IF(S40&lt;=T40,1,2)</f>
        <v>2</v>
      </c>
      <c r="Z40" s="14" t="n">
        <v>7</v>
      </c>
      <c r="AA40" s="19" t="n">
        <f aca="false">SQRT(SUM(POWER($C10-AB$28,2),POWER($D10-AC$28,2)))</f>
        <v>47.8068387070354</v>
      </c>
      <c r="AB40" s="19" t="n">
        <f aca="false">SQRT(SUM(POWER($C10-AB$29,2),POWER($D10-AC$29,2)))</f>
        <v>44.1322205713919</v>
      </c>
      <c r="AC40" s="14" t="n">
        <f aca="false">IF(AA40&lt;=AB40,1,2)</f>
        <v>2</v>
      </c>
      <c r="AH40" s="14" t="n">
        <v>7</v>
      </c>
      <c r="AI40" s="19" t="n">
        <f aca="false">SQRT(SUM(POWER($C10-AJ$28,2),POWER($D10-AK$28,2)))</f>
        <v>43.5258543856407</v>
      </c>
      <c r="AJ40" s="19" t="n">
        <f aca="false">SQRT(SUM(POWER($C10-AJ$29,2),POWER($D10-AK$29,2)))</f>
        <v>49.0449793556894</v>
      </c>
      <c r="AK40" s="14" t="n">
        <f aca="false">IF(AI40&lt;=AJ40,1,2)</f>
        <v>1</v>
      </c>
      <c r="AP40" s="14" t="n">
        <v>7</v>
      </c>
      <c r="AQ40" s="19" t="n">
        <f aca="false">SQRT(SUM(POWER($C10-AR$28,2),POWER($D10-AS$28,2)))</f>
        <v>39.5689585324007</v>
      </c>
      <c r="AR40" s="19" t="n">
        <f aca="false">SQRT(SUM(POWER($C10-AR$29,2),POWER($D10-AS$29,2)))</f>
        <v>54.4944215063216</v>
      </c>
      <c r="AS40" s="14" t="n">
        <f aca="false">IF(AQ40&lt;=AR40,1,2)</f>
        <v>1</v>
      </c>
    </row>
    <row r="41" customFormat="false" ht="18.75" hidden="false" customHeight="true" outlineLevel="0" collapsed="false">
      <c r="B41" s="14" t="n">
        <v>8</v>
      </c>
      <c r="C41" s="19" t="n">
        <f aca="false">SQRT(SUM(POWER(C11-$D$28,2),POWER(D11-$E$28,2)))</f>
        <v>80.0999375780032</v>
      </c>
      <c r="D41" s="19" t="n">
        <f aca="false">SQRT(SUM(POWER(C11-$D$29,2),POWER(D11-$E$29,2)))</f>
        <v>50.0399840127872</v>
      </c>
      <c r="E41" s="14" t="n">
        <f aca="false">IF(C41&lt;=D41,1,2)</f>
        <v>2</v>
      </c>
      <c r="J41" s="14" t="n">
        <v>8</v>
      </c>
      <c r="K41" s="19" t="n">
        <f aca="false">SQRT(SUM(POWER(C11-$L$28,2),POWER(D11-$M$28,2)))</f>
        <v>76.330285601457</v>
      </c>
      <c r="L41" s="19" t="n">
        <f aca="false">SQRT(SUM(POWER(C11-$L$29,2),POWER(D11-$M$29,2)))</f>
        <v>10</v>
      </c>
      <c r="M41" s="14" t="n">
        <f aca="false">IF(K41&lt;=L41,1,2)</f>
        <v>2</v>
      </c>
      <c r="R41" s="14" t="n">
        <v>8</v>
      </c>
      <c r="S41" s="19" t="n">
        <f aca="false">SQRT(SUM(POWER($C11-T$28,2),POWER($D11-U$28,2)))</f>
        <v>62.5660900568351</v>
      </c>
      <c r="T41" s="19" t="n">
        <f aca="false">SQRT(SUM(POWER($C11-T$29,2),POWER($D11-U$29,2)))</f>
        <v>29.5928388484632</v>
      </c>
      <c r="U41" s="14" t="n">
        <f aca="false">IF(S41&lt;=T41,1,2)</f>
        <v>2</v>
      </c>
      <c r="Z41" s="14" t="n">
        <v>8</v>
      </c>
      <c r="AA41" s="19" t="n">
        <f aca="false">SQRT(SUM(POWER($C11-AB$28,2),POWER($D11-AC$28,2)))</f>
        <v>57.8392835022131</v>
      </c>
      <c r="AB41" s="19" t="n">
        <f aca="false">SQRT(SUM(POWER($C11-AB$29,2),POWER($D11-AC$29,2)))</f>
        <v>34.103028148914</v>
      </c>
      <c r="AC41" s="14" t="n">
        <f aca="false">IF(AA41&lt;=AB41,1,2)</f>
        <v>2</v>
      </c>
      <c r="AH41" s="14" t="n">
        <v>8</v>
      </c>
      <c r="AI41" s="19" t="n">
        <f aca="false">SQRT(SUM(POWER($C11-AJ$28,2),POWER($D11-AK$28,2)))</f>
        <v>53.5583793630838</v>
      </c>
      <c r="AJ41" s="19" t="n">
        <f aca="false">SQRT(SUM(POWER($C11-AJ$29,2),POWER($D11-AK$29,2)))</f>
        <v>39.0155097365138</v>
      </c>
      <c r="AK41" s="14" t="n">
        <f aca="false">IF(AI41&lt;=AJ41,1,2)</f>
        <v>2</v>
      </c>
      <c r="AP41" s="14" t="n">
        <v>8</v>
      </c>
      <c r="AQ41" s="19" t="n">
        <f aca="false">SQRT(SUM(POWER($C11-AR$28,2),POWER($D11-AS$28,2)))</f>
        <v>49.6018028198089</v>
      </c>
      <c r="AR41" s="19" t="n">
        <f aca="false">SQRT(SUM(POWER($C11-AR$29,2),POWER($D11-AS$29,2)))</f>
        <v>44.4644399464683</v>
      </c>
      <c r="AS41" s="14" t="n">
        <f aca="false">IF(AQ41&lt;=AR41,1,2)</f>
        <v>2</v>
      </c>
    </row>
    <row r="42" customFormat="false" ht="18.75" hidden="false" customHeight="true" outlineLevel="0" collapsed="false">
      <c r="B42" s="14" t="n">
        <v>9</v>
      </c>
      <c r="C42" s="19" t="n">
        <f aca="false">SQRT(SUM(POWER(C12-$D$28,2),POWER(D12-$E$28,2)))</f>
        <v>90.0888450364417</v>
      </c>
      <c r="D42" s="19" t="n">
        <f aca="false">SQRT(SUM(POWER(C12-$D$29,2),POWER(D12-$E$29,2)))</f>
        <v>60.0333240792145</v>
      </c>
      <c r="E42" s="14" t="n">
        <f aca="false">IF(C42&lt;=D42,1,2)</f>
        <v>2</v>
      </c>
      <c r="J42" s="14" t="n">
        <v>9</v>
      </c>
      <c r="K42" s="19" t="n">
        <f aca="false">SQRT(SUM(POWER(C12-$L$28,2),POWER(D12-$M$28,2)))</f>
        <v>86.3209852816799</v>
      </c>
      <c r="L42" s="19" t="n">
        <f aca="false">SQRT(SUM(POWER(C12-$L$29,2),POWER(D12-$M$29,2)))</f>
        <v>0</v>
      </c>
      <c r="M42" s="14" t="n">
        <f aca="false">IF(K42&lt;=L42,1,2)</f>
        <v>2</v>
      </c>
      <c r="R42" s="14" t="n">
        <v>9</v>
      </c>
      <c r="S42" s="19" t="n">
        <f aca="false">SQRT(SUM(POWER($C12-T$28,2),POWER($D12-U$28,2)))</f>
        <v>72.5569819176625</v>
      </c>
      <c r="T42" s="19" t="n">
        <f aca="false">SQRT(SUM(POWER($C12-T$29,2),POWER($D12-U$29,2)))</f>
        <v>19.5976897731453</v>
      </c>
      <c r="U42" s="14" t="n">
        <f aca="false">IF(S42&lt;=T42,1,2)</f>
        <v>2</v>
      </c>
      <c r="Z42" s="14" t="n">
        <v>9</v>
      </c>
      <c r="AA42" s="19" t="n">
        <f aca="false">SQRT(SUM(POWER($C12-AB$28,2),POWER($D12-AC$28,2)))</f>
        <v>67.8302165086102</v>
      </c>
      <c r="AB42" s="19" t="n">
        <f aca="false">SQRT(SUM(POWER($C12-AB$29,2),POWER($D12-AC$29,2)))</f>
        <v>24.1080556475929</v>
      </c>
      <c r="AC42" s="14" t="n">
        <f aca="false">IF(AA42&lt;=AB42,1,2)</f>
        <v>2</v>
      </c>
      <c r="AH42" s="14" t="n">
        <v>9</v>
      </c>
      <c r="AI42" s="19" t="n">
        <f aca="false">SQRT(SUM(POWER($C12-AJ$28,2),POWER($D12-AK$28,2)))</f>
        <v>63.5491935432701</v>
      </c>
      <c r="AJ42" s="19" t="n">
        <f aca="false">SQRT(SUM(POWER($C12-AJ$29,2),POWER($D12-AK$29,2)))</f>
        <v>29.0208545704636</v>
      </c>
      <c r="AK42" s="14" t="n">
        <f aca="false">IF(AI42&lt;=AJ42,1,2)</f>
        <v>2</v>
      </c>
      <c r="AP42" s="14" t="n">
        <v>9</v>
      </c>
      <c r="AQ42" s="19" t="n">
        <f aca="false">SQRT(SUM(POWER($C12-AR$28,2),POWER($D12-AS$28,2)))</f>
        <v>59.5923479474026</v>
      </c>
      <c r="AR42" s="19" t="n">
        <f aca="false">SQRT(SUM(POWER($C12-AR$29,2),POWER($D12-AS$29,2)))</f>
        <v>34.4702412359444</v>
      </c>
      <c r="AS42" s="14" t="n">
        <f aca="false">IF(AQ42&lt;=AR42,1,2)</f>
        <v>2</v>
      </c>
    </row>
    <row r="43" customFormat="false" ht="18.75" hidden="false" customHeight="true" outlineLevel="0" collapsed="false">
      <c r="B43" s="14" t="n">
        <v>10</v>
      </c>
      <c r="C43" s="19" t="n">
        <f aca="false">SQRT(SUM(POWER(C13-$D$28,2),POWER(D13-$E$28,2)))</f>
        <v>110.113577727726</v>
      </c>
      <c r="D43" s="19" t="n">
        <f aca="false">SQRT(SUM(POWER(C13-$D$29,2),POWER(D13-$E$29,2)))</f>
        <v>80.0562302385017</v>
      </c>
      <c r="E43" s="14" t="n">
        <f aca="false">IF(C43&lt;=D43,1,2)</f>
        <v>2</v>
      </c>
      <c r="J43" s="14" t="n">
        <v>10</v>
      </c>
      <c r="K43" s="19" t="n">
        <f aca="false">SQRT(SUM(POWER(C13-$L$28,2),POWER(D13-$M$28,2)))</f>
        <v>106.345251421961</v>
      </c>
      <c r="L43" s="19" t="n">
        <f aca="false">SQRT(SUM(POWER(C13-$L$29,2),POWER(D13-$M$29,2)))</f>
        <v>20.0249843945008</v>
      </c>
      <c r="M43" s="14" t="n">
        <f aca="false">IF(K43&lt;=L43,1,2)</f>
        <v>2</v>
      </c>
      <c r="R43" s="14" t="n">
        <v>10</v>
      </c>
      <c r="S43" s="19" t="n">
        <f aca="false">SQRT(SUM(POWER($C13-T$28,2),POWER($D13-U$28,2)))</f>
        <v>92.58112996178</v>
      </c>
      <c r="T43" s="19" t="n">
        <f aca="false">SQRT(SUM(POWER($C13-T$29,2),POWER($D13-U$29,2)))</f>
        <v>0.485912657903767</v>
      </c>
      <c r="U43" s="14" t="n">
        <f aca="false">IF(S43&lt;=T43,1,2)</f>
        <v>2</v>
      </c>
      <c r="Z43" s="14" t="n">
        <v>10</v>
      </c>
      <c r="AA43" s="19" t="n">
        <f aca="false">SQRT(SUM(POWER($C13-AB$28,2),POWER($D13-AC$28,2)))</f>
        <v>87.8543266780264</v>
      </c>
      <c r="AB43" s="19" t="n">
        <f aca="false">SQRT(SUM(POWER($C13-AB$29,2),POWER($D13-AC$29,2)))</f>
        <v>4.09191906724615</v>
      </c>
      <c r="AC43" s="14" t="n">
        <f aca="false">IF(AA43&lt;=AB43,1,2)</f>
        <v>2</v>
      </c>
      <c r="AH43" s="14" t="n">
        <v>10</v>
      </c>
      <c r="AI43" s="19" t="n">
        <f aca="false">SQRT(SUM(POWER($C13-AJ$28,2),POWER($D13-AK$28,2)))</f>
        <v>83.5733211018923</v>
      </c>
      <c r="AJ43" s="19" t="n">
        <f aca="false">SQRT(SUM(POWER($C13-AJ$29,2),POWER($D13-AK$29,2)))</f>
        <v>9.00055553840984</v>
      </c>
      <c r="AK43" s="14" t="n">
        <f aca="false">IF(AI43&lt;=AJ43,1,2)</f>
        <v>2</v>
      </c>
      <c r="AP43" s="14" t="n">
        <v>10</v>
      </c>
      <c r="AQ43" s="19" t="n">
        <f aca="false">SQRT(SUM(POWER($C13-AR$28,2),POWER($D13-AS$28,2)))</f>
        <v>79.6165396662638</v>
      </c>
      <c r="AR43" s="19" t="n">
        <f aca="false">SQRT(SUM(POWER($C13-AR$29,2),POWER($D13-AS$29,2)))</f>
        <v>14.448290086365</v>
      </c>
      <c r="AS43" s="14" t="n">
        <f aca="false">IF(AQ43&lt;=AR43,1,2)</f>
        <v>2</v>
      </c>
    </row>
    <row r="44" customFormat="false" ht="18.75" hidden="false" customHeight="true" outlineLevel="0" collapsed="false">
      <c r="B44" s="14" t="n">
        <v>11</v>
      </c>
      <c r="C44" s="19" t="n">
        <f aca="false">SQRT(SUM(POWER(C14-$D$28,2),POWER(D14-$E$28,2)))</f>
        <v>140.128512444827</v>
      </c>
      <c r="D44" s="19" t="n">
        <f aca="false">SQRT(SUM(POWER(C14-$D$29,2),POWER(D14-$E$29,2)))</f>
        <v>110.072703246536</v>
      </c>
      <c r="E44" s="14" t="n">
        <f aca="false">IF(C44&lt;=D44,1,2)</f>
        <v>2</v>
      </c>
      <c r="J44" s="14" t="n">
        <v>11</v>
      </c>
      <c r="K44" s="19" t="n">
        <f aca="false">SQRT(SUM(POWER(C14-$L$28,2),POWER(D14-$M$28,2)))</f>
        <v>136.360963988966</v>
      </c>
      <c r="L44" s="19" t="n">
        <f aca="false">SQRT(SUM(POWER(C14-$L$29,2),POWER(D14-$M$29,2)))</f>
        <v>50.0399840127872</v>
      </c>
      <c r="M44" s="14" t="n">
        <f aca="false">IF(K44&lt;=L44,1,2)</f>
        <v>2</v>
      </c>
      <c r="R44" s="14" t="n">
        <v>11</v>
      </c>
      <c r="S44" s="19" t="n">
        <f aca="false">SQRT(SUM(POWER($C14-T$28,2),POWER($D14-U$28,2)))</f>
        <v>122.596964175301</v>
      </c>
      <c r="T44" s="19" t="n">
        <f aca="false">SQRT(SUM(POWER($C14-T$29,2),POWER($D14-U$29,2)))</f>
        <v>30.4423407626797</v>
      </c>
      <c r="U44" s="14" t="n">
        <f aca="false">IF(S44&lt;=T44,1,2)</f>
        <v>2</v>
      </c>
      <c r="Z44" s="14" t="n">
        <v>11</v>
      </c>
      <c r="AA44" s="19" t="n">
        <f aca="false">SQRT(SUM(POWER($C14-AB$28,2),POWER($D14-AC$28,2)))</f>
        <v>117.870194349757</v>
      </c>
      <c r="AB44" s="19" t="n">
        <f aca="false">SQRT(SUM(POWER($C14-AB$29,2),POWER($D14-AC$29,2)))</f>
        <v>25.9320472462196</v>
      </c>
      <c r="AC44" s="14" t="n">
        <f aca="false">IF(AA44&lt;=AB44,1,2)</f>
        <v>2</v>
      </c>
      <c r="AH44" s="14" t="n">
        <v>11</v>
      </c>
      <c r="AI44" s="19" t="n">
        <f aca="false">SQRT(SUM(POWER($C14-AJ$28,2),POWER($D14-AK$28,2)))</f>
        <v>113.589172019167</v>
      </c>
      <c r="AJ44" s="19" t="n">
        <f aca="false">SQRT(SUM(POWER($C14-AJ$29,2),POWER($D14-AK$29,2)))</f>
        <v>21.019276866724</v>
      </c>
      <c r="AK44" s="14" t="n">
        <f aca="false">IF(AI44&lt;=AJ44,1,2)</f>
        <v>2</v>
      </c>
      <c r="AP44" s="14" t="n">
        <v>11</v>
      </c>
      <c r="AQ44" s="19" t="n">
        <f aca="false">SQRT(SUM(POWER($C14-AR$28,2),POWER($D14-AS$28,2)))</f>
        <v>109.632330696215</v>
      </c>
      <c r="AR44" s="19" t="n">
        <f aca="false">SQRT(SUM(POWER($C14-AR$29,2),POWER($D14-AS$29,2)))</f>
        <v>15.5698347160919</v>
      </c>
      <c r="AS44" s="14" t="n">
        <f aca="false">IF(AQ44&lt;=AR44,1,2)</f>
        <v>2</v>
      </c>
    </row>
    <row r="45" customFormat="false" ht="18.75" hidden="false" customHeight="true" outlineLevel="0" collapsed="false">
      <c r="B45" s="14" t="n">
        <v>12</v>
      </c>
      <c r="C45" s="19" t="n">
        <f aca="false">SQRT(SUM(POWER(C15-$D$28,2),POWER(D15-$E$28,2)))</f>
        <v>160.153051797335</v>
      </c>
      <c r="D45" s="19" t="n">
        <f aca="false">SQRT(SUM(POWER(C15-$D$29,2),POWER(D15-$E$29,2)))</f>
        <v>130.096118312577</v>
      </c>
      <c r="E45" s="14" t="n">
        <f aca="false">IF(C45&lt;=D45,1,2)</f>
        <v>2</v>
      </c>
      <c r="J45" s="14" t="n">
        <v>12</v>
      </c>
      <c r="K45" s="19" t="n">
        <f aca="false">SQRT(SUM(POWER(C15-$L$28,2),POWER(D15-$M$28,2)))</f>
        <v>156.38514155763</v>
      </c>
      <c r="L45" s="19" t="n">
        <f aca="false">SQRT(SUM(POWER(C15-$L$29,2),POWER(D15-$M$29,2)))</f>
        <v>70.0642562224134</v>
      </c>
      <c r="M45" s="14" t="n">
        <f aca="false">IF(K45&lt;=L45,1,2)</f>
        <v>2</v>
      </c>
      <c r="R45" s="14" t="n">
        <v>12</v>
      </c>
      <c r="S45" s="19" t="n">
        <f aca="false">SQRT(SUM(POWER($C15-T$28,2),POWER($D15-U$28,2)))</f>
        <v>142.621056036618</v>
      </c>
      <c r="T45" s="19" t="n">
        <f aca="false">SQRT(SUM(POWER($C15-T$29,2),POWER($D15-U$29,2)))</f>
        <v>50.4668483043847</v>
      </c>
      <c r="U45" s="14" t="n">
        <f aca="false">IF(S45&lt;=T45,1,2)</f>
        <v>2</v>
      </c>
      <c r="Z45" s="14" t="n">
        <v>12</v>
      </c>
      <c r="AA45" s="19" t="n">
        <f aca="false">SQRT(SUM(POWER($C15-AB$28,2),POWER($D15-AC$28,2)))</f>
        <v>137.894260796067</v>
      </c>
      <c r="AB45" s="19" t="n">
        <f aca="false">SQRT(SUM(POWER($C15-AB$29,2),POWER($D15-AC$29,2)))</f>
        <v>45.9566810042416</v>
      </c>
      <c r="AC45" s="14" t="n">
        <f aca="false">IF(AA45&lt;=AB45,1,2)</f>
        <v>2</v>
      </c>
      <c r="AH45" s="14" t="n">
        <v>12</v>
      </c>
      <c r="AI45" s="19" t="n">
        <f aca="false">SQRT(SUM(POWER($C15-AJ$28,2),POWER($D15-AK$28,2)))</f>
        <v>133.613247846162</v>
      </c>
      <c r="AJ45" s="19" t="n">
        <f aca="false">SQRT(SUM(POWER($C15-AJ$29,2),POWER($D15-AK$29,2)))</f>
        <v>41.0440007796511</v>
      </c>
      <c r="AK45" s="14" t="n">
        <f aca="false">IF(AI45&lt;=AJ45,1,2)</f>
        <v>2</v>
      </c>
      <c r="AP45" s="14" t="n">
        <v>12</v>
      </c>
      <c r="AQ45" s="19" t="n">
        <f aca="false">SQRT(SUM(POWER($C15-AR$28,2),POWER($D15-AS$28,2)))</f>
        <v>129.656443682641</v>
      </c>
      <c r="AR45" s="19" t="n">
        <f aca="false">SQRT(SUM(POWER($C15-AR$29,2),POWER($D15-AS$29,2)))</f>
        <v>35.5945966214252</v>
      </c>
      <c r="AS45" s="14" t="n">
        <f aca="false">IF(AQ45&lt;=AR45,1,2)</f>
        <v>2</v>
      </c>
    </row>
    <row r="46" customFormat="false" ht="18.75" hidden="false" customHeight="true" outlineLevel="0" collapsed="false">
      <c r="B46" s="14" t="n">
        <v>13</v>
      </c>
      <c r="C46" s="19" t="n">
        <f aca="false">SQRT(SUM(POWER(C16-$D$28,2),POWER(D16-$E$28,2)))</f>
        <v>10</v>
      </c>
      <c r="D46" s="19" t="n">
        <f aca="false">SQRT(SUM(POWER(C16-$D$29,2),POWER(D16-$E$29,2)))</f>
        <v>40.0499687890016</v>
      </c>
      <c r="E46" s="14" t="n">
        <f aca="false">IF(C46&lt;=D46,1,2)</f>
        <v>1</v>
      </c>
      <c r="J46" s="14" t="n">
        <v>13</v>
      </c>
      <c r="K46" s="19" t="n">
        <f aca="false">SQRT(SUM(POWER(C16-$L$28,2),POWER(D16-$M$28,2)))</f>
        <v>13.759087905817</v>
      </c>
      <c r="L46" s="19" t="n">
        <f aca="false">SQRT(SUM(POWER(C16-$L$29,2),POWER(D16-$M$29,2)))</f>
        <v>100.079968025574</v>
      </c>
      <c r="M46" s="14" t="n">
        <f aca="false">IF(K46&lt;=L46,1,2)</f>
        <v>1</v>
      </c>
      <c r="R46" s="14" t="n">
        <v>13</v>
      </c>
      <c r="S46" s="19" t="n">
        <f aca="false">SQRT(SUM(POWER($C16-T$28,2),POWER($D16-U$28,2)))</f>
        <v>27.5230017439959</v>
      </c>
      <c r="T46" s="19" t="n">
        <f aca="false">SQRT(SUM(POWER($C16-T$29,2),POWER($D16-U$29,2)))</f>
        <v>119.677634130656</v>
      </c>
      <c r="U46" s="14" t="n">
        <f aca="false">IF(S46&lt;=T46,1,2)</f>
        <v>1</v>
      </c>
      <c r="Z46" s="14" t="n">
        <v>13</v>
      </c>
      <c r="AA46" s="19" t="n">
        <f aca="false">SQRT(SUM(POWER($C16-AB$28,2),POWER($D16-AC$28,2)))</f>
        <v>32.2497966306154</v>
      </c>
      <c r="AB46" s="19" t="n">
        <f aca="false">SQRT(SUM(POWER($C16-AB$29,2),POWER($D16-AC$29,2)))</f>
        <v>124.187974025515</v>
      </c>
      <c r="AC46" s="14" t="n">
        <f aca="false">IF(AA46&lt;=AB46,1,2)</f>
        <v>1</v>
      </c>
      <c r="AH46" s="14" t="n">
        <v>13</v>
      </c>
      <c r="AI46" s="19" t="n">
        <f aca="false">SQRT(SUM(POWER($C16-AJ$28,2),POWER($D16-AK$28,2)))</f>
        <v>36.5308089152157</v>
      </c>
      <c r="AJ46" s="19" t="n">
        <f aca="false">SQRT(SUM(POWER($C16-AJ$29,2),POWER($D16-AK$29,2)))</f>
        <v>129.100774591015</v>
      </c>
      <c r="AK46" s="14" t="n">
        <f aca="false">IF(AI46&lt;=AJ46,1,2)</f>
        <v>1</v>
      </c>
      <c r="AP46" s="14" t="n">
        <v>13</v>
      </c>
      <c r="AQ46" s="19" t="n">
        <f aca="false">SQRT(SUM(POWER($C16-AR$28,2),POWER($D16-AS$28,2)))</f>
        <v>40.4876269233491</v>
      </c>
      <c r="AR46" s="19" t="n">
        <f aca="false">SQRT(SUM(POWER($C16-AR$29,2),POWER($D16-AS$29,2)))</f>
        <v>134.550187983591</v>
      </c>
      <c r="AS46" s="14" t="n">
        <f aca="false">IF(AQ46&lt;=AR46,1,2)</f>
        <v>1</v>
      </c>
    </row>
    <row r="47" customFormat="false" ht="18.75" hidden="false" customHeight="true" outlineLevel="0" collapsed="false">
      <c r="B47" s="14" t="n">
        <v>14</v>
      </c>
      <c r="C47" s="19" t="n">
        <f aca="false">SQRT(SUM(POWER(C17-$D$28,2),POWER(D17-$E$28,2)))</f>
        <v>15.0332963783729</v>
      </c>
      <c r="D47" s="19" t="n">
        <f aca="false">SQRT(SUM(POWER(C17-$D$29,2),POWER(D17-$E$29,2)))</f>
        <v>15.0332963783729</v>
      </c>
      <c r="E47" s="14" t="n">
        <f aca="false">IF(C47&lt;=D47,1,2)</f>
        <v>1</v>
      </c>
      <c r="J47" s="14" t="n">
        <v>14</v>
      </c>
      <c r="K47" s="19" t="n">
        <f aca="false">SQRT(SUM(POWER(C17-$L$28,2),POWER(D17-$M$28,2)))</f>
        <v>11.2611056295552</v>
      </c>
      <c r="L47" s="19" t="n">
        <f aca="false">SQRT(SUM(POWER(C17-$L$29,2),POWER(D17-$M$29,2)))</f>
        <v>75.0599760191808</v>
      </c>
      <c r="M47" s="14" t="n">
        <f aca="false">IF(K47&lt;=L47,1,2)</f>
        <v>1</v>
      </c>
      <c r="R47" s="14" t="n">
        <v>14</v>
      </c>
      <c r="S47" s="19" t="n">
        <f aca="false">SQRT(SUM(POWER($C17-T$28,2),POWER($D17-U$28,2)))</f>
        <v>2.5031230493126</v>
      </c>
      <c r="T47" s="19" t="n">
        <f aca="false">SQRT(SUM(POWER($C17-T$29,2),POWER($D17-U$29,2)))</f>
        <v>94.6576433493062</v>
      </c>
      <c r="U47" s="14" t="n">
        <f aca="false">IF(S47&lt;=T47,1,2)</f>
        <v>1</v>
      </c>
      <c r="Z47" s="14" t="n">
        <v>14</v>
      </c>
      <c r="AA47" s="19" t="n">
        <f aca="false">SQRT(SUM(POWER($C17-AB$28,2),POWER($D17-AC$28,2)))</f>
        <v>7.22991043777665</v>
      </c>
      <c r="AB47" s="19" t="n">
        <f aca="false">SQRT(SUM(POWER($C17-AB$29,2),POWER($D17-AC$29,2)))</f>
        <v>99.1679850364943</v>
      </c>
      <c r="AC47" s="14" t="n">
        <f aca="false">IF(AA47&lt;=AB47,1,2)</f>
        <v>1</v>
      </c>
      <c r="AH47" s="14" t="n">
        <v>14</v>
      </c>
      <c r="AI47" s="19" t="n">
        <f aca="false">SQRT(SUM(POWER($C17-AJ$28,2),POWER($D17-AK$28,2)))</f>
        <v>11.5108644332213</v>
      </c>
      <c r="AJ47" s="19" t="n">
        <f aca="false">SQRT(SUM(POWER($C17-AJ$29,2),POWER($D17-AK$29,2)))</f>
        <v>104.08078593093</v>
      </c>
      <c r="AK47" s="14" t="n">
        <f aca="false">IF(AI47&lt;=AJ47,1,2)</f>
        <v>1</v>
      </c>
      <c r="AP47" s="14" t="n">
        <v>14</v>
      </c>
      <c r="AQ47" s="19" t="n">
        <f aca="false">SQRT(SUM(POWER($C17-AR$28,2),POWER($D17-AS$28,2)))</f>
        <v>15.4676415100783</v>
      </c>
      <c r="AR47" s="19" t="n">
        <f aca="false">SQRT(SUM(POWER($C17-AR$29,2),POWER($D17-AS$29,2)))</f>
        <v>109.530197651291</v>
      </c>
      <c r="AS47" s="14" t="n">
        <f aca="false">IF(AQ47&lt;=AR47,1,2)</f>
        <v>1</v>
      </c>
    </row>
    <row r="48" customFormat="false" ht="18.75" hidden="false" customHeight="true" outlineLevel="0" collapsed="false">
      <c r="B48" s="14" t="n">
        <v>15</v>
      </c>
      <c r="C48" s="19" t="n">
        <f aca="false">SQRT(SUM(POWER(C18-$D$28,2),POWER(D18-$E$28,2)))</f>
        <v>35.0570962859162</v>
      </c>
      <c r="D48" s="19" t="n">
        <f aca="false">SQRT(SUM(POWER(C18-$D$29,2),POWER(D18-$E$29,2)))</f>
        <v>5</v>
      </c>
      <c r="E48" s="14" t="n">
        <f aca="false">IF(C48&lt;=D48,1,2)</f>
        <v>2</v>
      </c>
      <c r="J48" s="14" t="n">
        <v>15</v>
      </c>
      <c r="K48" s="19" t="n">
        <f aca="false">SQRT(SUM(POWER(C18-$L$28,2),POWER(D18-$M$28,2)))</f>
        <v>31.2859792878535</v>
      </c>
      <c r="L48" s="19" t="n">
        <f aca="false">SQRT(SUM(POWER(C18-$L$29,2),POWER(D18-$M$29,2)))</f>
        <v>55.0363516232681</v>
      </c>
      <c r="M48" s="14" t="n">
        <f aca="false">IF(K48&lt;=L48,1,2)</f>
        <v>1</v>
      </c>
      <c r="R48" s="14" t="n">
        <v>15</v>
      </c>
      <c r="S48" s="19" t="n">
        <f aca="false">SQRT(SUM(POWER($C18-T$28,2),POWER($D18-U$28,2)))</f>
        <v>17.5218613451882</v>
      </c>
      <c r="T48" s="19" t="n">
        <f aca="false">SQRT(SUM(POWER($C18-T$29,2),POWER($D18-U$29,2)))</f>
        <v>74.6340144378628</v>
      </c>
      <c r="U48" s="14" t="n">
        <f aca="false">IF(S48&lt;=T48,1,2)</f>
        <v>1</v>
      </c>
      <c r="Z48" s="14" t="n">
        <v>15</v>
      </c>
      <c r="AA48" s="19" t="n">
        <f aca="false">SQRT(SUM(POWER($C18-AB$28,2),POWER($D18-AC$28,2)))</f>
        <v>12.7951572629146</v>
      </c>
      <c r="AB48" s="19" t="n">
        <f aca="false">SQRT(SUM(POWER($C18-AB$29,2),POWER($D18-AC$29,2)))</f>
        <v>79.1443915305677</v>
      </c>
      <c r="AC48" s="14" t="n">
        <f aca="false">IF(AA48&lt;=AB48,1,2)</f>
        <v>1</v>
      </c>
      <c r="AH48" s="14" t="n">
        <v>15</v>
      </c>
      <c r="AI48" s="19" t="n">
        <f aca="false">SQRT(SUM(POWER($C18-AJ$28,2),POWER($D18-AK$28,2)))</f>
        <v>8.5146931829632</v>
      </c>
      <c r="AJ48" s="19" t="n">
        <f aca="false">SQRT(SUM(POWER($C18-AJ$29,2),POWER($D18-AK$29,2)))</f>
        <v>84.057182917345</v>
      </c>
      <c r="AK48" s="14" t="n">
        <f aca="false">IF(AI48&lt;=AJ48,1,2)</f>
        <v>1</v>
      </c>
      <c r="AP48" s="14" t="n">
        <v>15</v>
      </c>
      <c r="AQ48" s="19" t="n">
        <f aca="false">SQRT(SUM(POWER($C18-AR$28,2),POWER($D18-AS$28,2)))</f>
        <v>4.55997680144888</v>
      </c>
      <c r="AR48" s="19" t="n">
        <f aca="false">SQRT(SUM(POWER($C18-AR$29,2),POWER($D18-AS$29,2)))</f>
        <v>89.5065346948837</v>
      </c>
      <c r="AS48" s="14" t="n">
        <f aca="false">IF(AQ48&lt;=AR48,1,2)</f>
        <v>1</v>
      </c>
    </row>
    <row r="49" customFormat="false" ht="18.75" hidden="false" customHeight="true" outlineLevel="0" collapsed="false">
      <c r="B49" s="14" t="n">
        <v>16</v>
      </c>
      <c r="C49" s="19" t="n">
        <f aca="false">SQRT(SUM(POWER(C19-$D$28,2),POWER(D19-$E$28,2)))</f>
        <v>65.0691939399898</v>
      </c>
      <c r="D49" s="19" t="n">
        <f aca="false">SQRT(SUM(POWER(C19-$D$29,2),POWER(D19-$E$29,2)))</f>
        <v>35.0142828000232</v>
      </c>
      <c r="E49" s="14" t="n">
        <f aca="false">IF(C49&lt;=D49,1,2)</f>
        <v>2</v>
      </c>
      <c r="J49" s="14" t="n">
        <v>16</v>
      </c>
      <c r="K49" s="19" t="n">
        <f aca="false">SQRT(SUM(POWER(C19-$L$28,2),POWER(D19-$M$28,2)))</f>
        <v>61.3009991761961</v>
      </c>
      <c r="L49" s="19" t="n">
        <f aca="false">SQRT(SUM(POWER(C19-$L$29,2),POWER(D19-$M$29,2)))</f>
        <v>25.0199920063936</v>
      </c>
      <c r="M49" s="14" t="n">
        <f aca="false">IF(K49&lt;=L49,1,2)</f>
        <v>2</v>
      </c>
      <c r="R49" s="14" t="n">
        <v>16</v>
      </c>
      <c r="S49" s="19" t="n">
        <f aca="false">SQRT(SUM(POWER($C19-T$28,2),POWER($D19-U$28,2)))</f>
        <v>47.5369921745161</v>
      </c>
      <c r="T49" s="19" t="n">
        <f aca="false">SQRT(SUM(POWER($C19-T$29,2),POWER($D19-U$29,2)))</f>
        <v>44.6176659083721</v>
      </c>
      <c r="U49" s="14" t="n">
        <f aca="false">IF(S49&lt;=T49,1,2)</f>
        <v>2</v>
      </c>
      <c r="Z49" s="14" t="n">
        <v>16</v>
      </c>
      <c r="AA49" s="19" t="n">
        <f aca="false">SQRT(SUM(POWER($C19-AB$28,2),POWER($D19-AC$28,2)))</f>
        <v>42.8102329984633</v>
      </c>
      <c r="AB49" s="19" t="n">
        <f aca="false">SQRT(SUM(POWER($C19-AB$29,2),POWER($D19-AC$29,2)))</f>
        <v>49.128016278607</v>
      </c>
      <c r="AC49" s="14" t="n">
        <f aca="false">IF(AA49&lt;=AB49,1,2)</f>
        <v>1</v>
      </c>
      <c r="AH49" s="14" t="n">
        <v>16</v>
      </c>
      <c r="AI49" s="19" t="n">
        <f aca="false">SQRT(SUM(POWER($C19-AJ$28,2),POWER($D19-AK$28,2)))</f>
        <v>38.529209698617</v>
      </c>
      <c r="AJ49" s="19" t="n">
        <f aca="false">SQRT(SUM(POWER($C19-AJ$29,2),POWER($D19-AK$29,2)))</f>
        <v>54.0408179064677</v>
      </c>
      <c r="AK49" s="14" t="n">
        <f aca="false">IF(AI49&lt;=AJ49,1,2)</f>
        <v>1</v>
      </c>
      <c r="AP49" s="14" t="n">
        <v>16</v>
      </c>
      <c r="AQ49" s="19" t="n">
        <f aca="false">SQRT(SUM(POWER($C19-AR$28,2),POWER($D19-AS$28,2)))</f>
        <v>34.5723579451026</v>
      </c>
      <c r="AR49" s="19" t="n">
        <f aca="false">SQRT(SUM(POWER($C19-AR$29,2),POWER($D19-AS$29,2)))</f>
        <v>59.4902212111628</v>
      </c>
      <c r="AS49" s="14" t="n">
        <f aca="false">IF(AQ49&lt;=AR49,1,2)</f>
        <v>1</v>
      </c>
    </row>
    <row r="50" customFormat="false" ht="18.75" hidden="false" customHeight="true" outlineLevel="0" collapsed="false">
      <c r="B50" s="14" t="n">
        <v>17</v>
      </c>
      <c r="C50" s="19" t="n">
        <f aca="false">SQRT(SUM(POWER(C20-$D$28,2),POWER(D20-$E$28,2)))</f>
        <v>100.079968025574</v>
      </c>
      <c r="D50" s="19" t="n">
        <f aca="false">SQRT(SUM(POWER(C20-$D$29,2),POWER(D20-$E$29,2)))</f>
        <v>70.0285656000464</v>
      </c>
      <c r="E50" s="14" t="n">
        <f aca="false">IF(C50&lt;=D50,1,2)</f>
        <v>2</v>
      </c>
      <c r="J50" s="14" t="n">
        <v>17</v>
      </c>
      <c r="K50" s="19" t="n">
        <f aca="false">SQRT(SUM(POWER(C20-$L$28,2),POWER(D20-$M$28,2)))</f>
        <v>96.3136153407191</v>
      </c>
      <c r="L50" s="19" t="n">
        <f aca="false">SQRT(SUM(POWER(C20-$L$29,2),POWER(D20-$M$29,2)))</f>
        <v>10</v>
      </c>
      <c r="M50" s="14" t="n">
        <f aca="false">IF(K50&lt;=L50,1,2)</f>
        <v>2</v>
      </c>
      <c r="R50" s="14" t="n">
        <v>17</v>
      </c>
      <c r="S50" s="19" t="n">
        <f aca="false">SQRT(SUM(POWER($C20-T$28,2),POWER($D20-U$28,2)))</f>
        <v>82.5500794972361</v>
      </c>
      <c r="T50" s="19" t="n">
        <f aca="false">SQRT(SUM(POWER($C20-T$29,2),POWER($D20-U$29,2)))</f>
        <v>9.61263635938539</v>
      </c>
      <c r="U50" s="14" t="n">
        <f aca="false">IF(S50&lt;=T50,1,2)</f>
        <v>2</v>
      </c>
      <c r="Z50" s="14" t="n">
        <v>17</v>
      </c>
      <c r="AA50" s="19" t="n">
        <f aca="false">SQRT(SUM(POWER($C20-AB$28,2),POWER($D20-AC$28,2)))</f>
        <v>77.8234786369801</v>
      </c>
      <c r="AB50" s="19" t="n">
        <f aca="false">SQRT(SUM(POWER($C20-AB$29,2),POWER($D20-AC$29,2)))</f>
        <v>14.1202041518264</v>
      </c>
      <c r="AC50" s="14" t="n">
        <f aca="false">IF(AA50&lt;=AB50,1,2)</f>
        <v>2</v>
      </c>
      <c r="AH50" s="14" t="n">
        <v>17</v>
      </c>
      <c r="AI50" s="19" t="n">
        <f aca="false">SQRT(SUM(POWER($C20-AJ$28,2),POWER($D20-AK$28,2)))</f>
        <v>73.5425047166603</v>
      </c>
      <c r="AJ50" s="19" t="n">
        <f aca="false">SQRT(SUM(POWER($C20-AJ$29,2),POWER($D20-AK$29,2)))</f>
        <v>19.0318154677897</v>
      </c>
      <c r="AK50" s="14" t="n">
        <f aca="false">IF(AI50&lt;=AJ50,1,2)</f>
        <v>2</v>
      </c>
      <c r="AP50" s="14" t="n">
        <v>17</v>
      </c>
      <c r="AQ50" s="19" t="n">
        <f aca="false">SQRT(SUM(POWER($C20-AR$28,2),POWER($D20-AS$28,2)))</f>
        <v>69.5856093225703</v>
      </c>
      <c r="AR50" s="19" t="n">
        <f aca="false">SQRT(SUM(POWER($C20-AR$29,2),POWER($D20-AS$29,2)))</f>
        <v>24.4807810736363</v>
      </c>
      <c r="AS50" s="14" t="n">
        <f aca="false">IF(AQ50&lt;=AR50,1,2)</f>
        <v>2</v>
      </c>
    </row>
    <row r="51" customFormat="false" ht="18.75" hidden="false" customHeight="true" outlineLevel="0" collapsed="false">
      <c r="B51" s="14" t="n">
        <v>18</v>
      </c>
      <c r="C51" s="19" t="n">
        <f aca="false">SQRT(SUM(POWER(C21-$D$28,2),POWER(D21-$E$28,2)))</f>
        <v>120.104121494643</v>
      </c>
      <c r="D51" s="19" t="n">
        <f aca="false">SQRT(SUM(POWER(C21-$D$29,2),POWER(D21-$E$29,2)))</f>
        <v>90.0499861188218</v>
      </c>
      <c r="E51" s="14" t="n">
        <f aca="false">IF(C51&lt;=D51,1,2)</f>
        <v>2</v>
      </c>
      <c r="J51" s="14" t="n">
        <v>18</v>
      </c>
      <c r="K51" s="19" t="n">
        <f aca="false">SQRT(SUM(POWER(C21-$L$28,2),POWER(D21-$M$28,2)))</f>
        <v>116.337064171312</v>
      </c>
      <c r="L51" s="19" t="n">
        <f aca="false">SQRT(SUM(POWER(C21-$L$29,2),POWER(D21-$M$29,2)))</f>
        <v>30.0166620396073</v>
      </c>
      <c r="M51" s="14" t="n">
        <f aca="false">IF(K51&lt;=L51,1,2)</f>
        <v>2</v>
      </c>
      <c r="R51" s="14" t="n">
        <v>18</v>
      </c>
      <c r="S51" s="19" t="n">
        <f aca="false">SQRT(SUM(POWER($C21-T$28,2),POWER($D21-U$28,2)))</f>
        <v>102.573220798608</v>
      </c>
      <c r="T51" s="19" t="n">
        <f aca="false">SQRT(SUM(POWER($C21-T$29,2),POWER($D21-U$29,2)))</f>
        <v>10.419666234791</v>
      </c>
      <c r="U51" s="14" t="n">
        <f aca="false">IF(S51&lt;=T51,1,2)</f>
        <v>2</v>
      </c>
      <c r="Z51" s="14" t="n">
        <v>18</v>
      </c>
      <c r="AA51" s="19" t="n">
        <f aca="false">SQRT(SUM(POWER($C21-AB$28,2),POWER($D21-AC$28,2)))</f>
        <v>97.8465036248355</v>
      </c>
      <c r="AB51" s="19" t="n">
        <f aca="false">SQRT(SUM(POWER($C21-AB$29,2),POWER($D21-AC$29,2)))</f>
        <v>5.90979016841636</v>
      </c>
      <c r="AC51" s="14" t="n">
        <f aca="false">IF(AA51&lt;=AB51,1,2)</f>
        <v>2</v>
      </c>
      <c r="AH51" s="14" t="n">
        <v>18</v>
      </c>
      <c r="AI51" s="19" t="n">
        <f aca="false">SQRT(SUM(POWER($C21-AJ$28,2),POWER($D21-AK$28,2)))</f>
        <v>93.5654850893213</v>
      </c>
      <c r="AJ51" s="19" t="n">
        <f aca="false">SQRT(SUM(POWER($C21-AJ$29,2),POWER($D21-AK$29,2)))</f>
        <v>1.00498756211209</v>
      </c>
      <c r="AK51" s="14" t="n">
        <f aca="false">IF(AI51&lt;=AJ51,1,2)</f>
        <v>2</v>
      </c>
      <c r="AP51" s="14" t="n">
        <v>18</v>
      </c>
      <c r="AQ51" s="19" t="n">
        <f aca="false">SQRT(SUM(POWER($C21-AR$28,2),POWER($D21-AS$28,2)))</f>
        <v>89.6086071721843</v>
      </c>
      <c r="AR51" s="19" t="n">
        <f aca="false">SQRT(SUM(POWER($C21-AR$29,2),POWER($D21-AS$29,2)))</f>
        <v>4.45692691558481</v>
      </c>
      <c r="AS51" s="14" t="n">
        <f aca="false">IF(AQ51&lt;=AR51,1,2)</f>
        <v>2</v>
      </c>
    </row>
    <row r="52" customFormat="false" ht="18.75" hidden="false" customHeight="true" outlineLevel="0" collapsed="false">
      <c r="B52" s="14" t="n">
        <v>19</v>
      </c>
      <c r="C52" s="19" t="n">
        <f aca="false">SQRT(SUM(POWER(C22-$D$28,2),POWER(D22-$E$28,2)))</f>
        <v>150.119952038362</v>
      </c>
      <c r="D52" s="19" t="n">
        <f aca="false">SQRT(SUM(POWER(C22-$D$29,2),POWER(D22-$E$29,2)))</f>
        <v>120.066648158429</v>
      </c>
      <c r="E52" s="14" t="n">
        <f aca="false">IF(C52&lt;=D52,1,2)</f>
        <v>2</v>
      </c>
      <c r="J52" s="14" t="n">
        <v>19</v>
      </c>
      <c r="K52" s="19" t="n">
        <f aca="false">SQRT(SUM(POWER(C22-$L$28,2),POWER(D22-$M$28,2)))</f>
        <v>146.353382263616</v>
      </c>
      <c r="L52" s="19" t="n">
        <f aca="false">SQRT(SUM(POWER(C22-$L$29,2),POWER(D22-$M$29,2)))</f>
        <v>60.0333240792145</v>
      </c>
      <c r="M52" s="14" t="n">
        <f aca="false">IF(K52&lt;=L52,1,2)</f>
        <v>2</v>
      </c>
      <c r="R52" s="14" t="n">
        <v>19</v>
      </c>
      <c r="S52" s="19" t="n">
        <f aca="false">SQRT(SUM(POWER($C22-T$28,2),POWER($D22-U$28,2)))</f>
        <v>132.589651274147</v>
      </c>
      <c r="T52" s="19" t="n">
        <f aca="false">SQRT(SUM(POWER($C22-T$29,2),POWER($D22-U$29,2)))</f>
        <v>40.435991943372</v>
      </c>
      <c r="U52" s="14" t="n">
        <f aca="false">IF(S52&lt;=T52,1,2)</f>
        <v>2</v>
      </c>
      <c r="Z52" s="14" t="n">
        <v>19</v>
      </c>
      <c r="AA52" s="19" t="n">
        <f aca="false">SQRT(SUM(POWER($C22-AB$28,2),POWER($D22-AC$28,2)))</f>
        <v>127.862966771481</v>
      </c>
      <c r="AB52" s="19" t="n">
        <f aca="false">SQRT(SUM(POWER($C22-AB$29,2),POWER($D22-AC$29,2)))</f>
        <v>35.9256578584441</v>
      </c>
      <c r="AC52" s="14" t="n">
        <f aca="false">IF(AA52&lt;=AB52,1,2)</f>
        <v>2</v>
      </c>
      <c r="AH52" s="14" t="n">
        <v>19</v>
      </c>
      <c r="AI52" s="19" t="n">
        <f aca="false">SQRT(SUM(POWER($C22-AJ$28,2),POWER($D22-AK$28,2)))</f>
        <v>123.581956611797</v>
      </c>
      <c r="AJ52" s="19" t="n">
        <f aca="false">SQRT(SUM(POWER($C22-AJ$29,2),POWER($D22-AK$29,2)))</f>
        <v>31.0130617643599</v>
      </c>
      <c r="AK52" s="14" t="n">
        <f aca="false">IF(AI52&lt;=AJ52,1,2)</f>
        <v>2</v>
      </c>
      <c r="AP52" s="14" t="n">
        <v>19</v>
      </c>
      <c r="AQ52" s="19" t="n">
        <f aca="false">SQRT(SUM(POWER($C22-AR$28,2),POWER($D22-AS$28,2)))</f>
        <v>119.625068546661</v>
      </c>
      <c r="AR52" s="19" t="n">
        <f aca="false">SQRT(SUM(POWER($C22-AR$29,2),POWER($D22-AS$29,2)))</f>
        <v>25.5642497288211</v>
      </c>
      <c r="AS52" s="14" t="n">
        <f aca="false">IF(AQ52&lt;=AR52,1,2)</f>
        <v>2</v>
      </c>
    </row>
    <row r="53" customFormat="false" ht="18.75" hidden="false" customHeight="true" outlineLevel="0" collapsed="false">
      <c r="B53" s="14" t="n">
        <v>20</v>
      </c>
      <c r="C53" s="19" t="n">
        <f aca="false">SQRT(SUM(POWER(C23-$D$28,2),POWER(D23-$E$28,2)))</f>
        <v>170.144056610861</v>
      </c>
      <c r="D53" s="19" t="n">
        <f aca="false">SQRT(SUM(POWER(C23-$D$29,2),POWER(D23-$E$29,2)))</f>
        <v>140.089257261219</v>
      </c>
      <c r="E53" s="14" t="n">
        <f aca="false">IF(C53&lt;=D53,1,2)</f>
        <v>2</v>
      </c>
      <c r="J53" s="14" t="n">
        <v>20</v>
      </c>
      <c r="K53" s="19" t="n">
        <f aca="false">SQRT(SUM(POWER(C23-$L$28,2),POWER(D23-$M$28,2)))</f>
        <v>166.377019146275</v>
      </c>
      <c r="L53" s="19" t="n">
        <f aca="false">SQRT(SUM(POWER(C23-$L$29,2),POWER(D23-$M$29,2)))</f>
        <v>80.0562302385017</v>
      </c>
      <c r="M53" s="14" t="n">
        <f aca="false">IF(K53&lt;=L53,1,2)</f>
        <v>2</v>
      </c>
      <c r="R53" s="14" t="n">
        <v>20</v>
      </c>
      <c r="S53" s="19" t="n">
        <f aca="false">SQRT(SUM(POWER($C23-T$28,2),POWER($D23-U$28,2)))</f>
        <v>152.613124026081</v>
      </c>
      <c r="T53" s="19" t="n">
        <f aca="false">SQRT(SUM(POWER($C23-T$29,2),POWER($D23-U$29,2)))</f>
        <v>60.458548701661</v>
      </c>
      <c r="U53" s="14" t="n">
        <f aca="false">IF(S53&lt;=T53,1,2)</f>
        <v>2</v>
      </c>
      <c r="Z53" s="14" t="n">
        <v>20</v>
      </c>
      <c r="AA53" s="19" t="n">
        <f aca="false">SQRT(SUM(POWER($C23-AB$28,2),POWER($D23-AC$28,2)))</f>
        <v>147.886384485014</v>
      </c>
      <c r="AB53" s="19" t="n">
        <f aca="false">SQRT(SUM(POWER($C23-AB$29,2),POWER($D23-AC$29,2)))</f>
        <v>55.9481755476212</v>
      </c>
      <c r="AC53" s="14" t="n">
        <f aca="false">IF(AA53&lt;=AB53,1,2)</f>
        <v>2</v>
      </c>
      <c r="AH53" s="14" t="n">
        <v>20</v>
      </c>
      <c r="AI53" s="19" t="n">
        <f aca="false">SQRT(SUM(POWER($C23-AJ$28,2),POWER($D23-AK$28,2)))</f>
        <v>143.605362016883</v>
      </c>
      <c r="AJ53" s="19" t="n">
        <f aca="false">SQRT(SUM(POWER($C23-AJ$29,2),POWER($D23-AK$29,2)))</f>
        <v>51.0353798849386</v>
      </c>
      <c r="AK53" s="14" t="n">
        <f aca="false">IF(AI53&lt;=AJ53,1,2)</f>
        <v>2</v>
      </c>
      <c r="AP53" s="14" t="n">
        <v>20</v>
      </c>
      <c r="AQ53" s="19" t="n">
        <f aca="false">SQRT(SUM(POWER($C23-AR$28,2),POWER($D23-AS$28,2)))</f>
        <v>139.64849615853</v>
      </c>
      <c r="AR53" s="19" t="n">
        <f aca="false">SQRT(SUM(POWER($C23-AR$29,2),POWER($D23-AS$29,2)))</f>
        <v>45.5860331653576</v>
      </c>
      <c r="AS53" s="14" t="n">
        <f aca="false">IF(AQ53&lt;=AR53,1,2)</f>
        <v>2</v>
      </c>
    </row>
    <row r="54" customFormat="false" ht="18.75" hidden="false" customHeight="true" outlineLevel="0" collapsed="false">
      <c r="J54" s="1"/>
      <c r="K54" s="1"/>
      <c r="R54" s="1"/>
      <c r="S54" s="1"/>
      <c r="Z54" s="1"/>
      <c r="AA54" s="1"/>
      <c r="AH54" s="1"/>
      <c r="AI54" s="1"/>
      <c r="AP54" s="1"/>
      <c r="AQ54" s="1"/>
    </row>
    <row r="55" customFormat="false" ht="18.75" hidden="false" customHeight="true" outlineLevel="0" collapsed="false">
      <c r="B55" s="20" t="s">
        <v>22</v>
      </c>
      <c r="C55" s="21"/>
      <c r="D55" s="21"/>
      <c r="E55" s="21"/>
      <c r="F55" s="21"/>
      <c r="G55" s="21"/>
      <c r="H55" s="21"/>
      <c r="J55" s="20" t="s">
        <v>22</v>
      </c>
      <c r="K55" s="21"/>
      <c r="L55" s="21"/>
      <c r="M55" s="21"/>
      <c r="N55" s="21"/>
      <c r="O55" s="21"/>
      <c r="P55" s="21"/>
      <c r="R55" s="20" t="s">
        <v>22</v>
      </c>
      <c r="S55" s="21"/>
      <c r="T55" s="21"/>
      <c r="U55" s="21"/>
      <c r="V55" s="21"/>
      <c r="W55" s="21"/>
      <c r="X55" s="21"/>
      <c r="Z55" s="20" t="s">
        <v>22</v>
      </c>
      <c r="AA55" s="21"/>
      <c r="AB55" s="21"/>
      <c r="AC55" s="21"/>
      <c r="AD55" s="21"/>
      <c r="AE55" s="21"/>
      <c r="AF55" s="21"/>
      <c r="AH55" s="20" t="s">
        <v>22</v>
      </c>
      <c r="AI55" s="21"/>
      <c r="AJ55" s="21"/>
      <c r="AK55" s="21"/>
      <c r="AL55" s="21"/>
      <c r="AM55" s="21"/>
      <c r="AN55" s="21"/>
      <c r="AP55" s="20" t="s">
        <v>22</v>
      </c>
      <c r="AQ55" s="21"/>
      <c r="AR55" s="21"/>
      <c r="AS55" s="21"/>
      <c r="AT55" s="21"/>
      <c r="AU55" s="21"/>
      <c r="AV55" s="21"/>
    </row>
    <row r="56" customFormat="false" ht="18.75" hidden="false" customHeight="true" outlineLevel="0" collapsed="false">
      <c r="B56" s="21"/>
      <c r="C56" s="21"/>
      <c r="D56" s="21"/>
      <c r="E56" s="21"/>
      <c r="F56" s="21"/>
      <c r="G56" s="21"/>
      <c r="H56" s="21"/>
      <c r="J56" s="21"/>
      <c r="K56" s="21"/>
      <c r="L56" s="21"/>
      <c r="M56" s="21"/>
      <c r="N56" s="21"/>
      <c r="O56" s="21"/>
      <c r="P56" s="21"/>
      <c r="R56" s="21"/>
      <c r="S56" s="21"/>
      <c r="T56" s="21"/>
      <c r="U56" s="21"/>
      <c r="V56" s="21"/>
      <c r="W56" s="21"/>
      <c r="X56" s="21"/>
      <c r="Z56" s="21"/>
      <c r="AA56" s="21"/>
      <c r="AB56" s="21"/>
      <c r="AC56" s="21"/>
      <c r="AD56" s="21"/>
      <c r="AE56" s="21"/>
      <c r="AF56" s="21"/>
      <c r="AH56" s="21"/>
      <c r="AI56" s="21"/>
      <c r="AJ56" s="21"/>
      <c r="AK56" s="21"/>
      <c r="AL56" s="21"/>
      <c r="AM56" s="21"/>
      <c r="AN56" s="21"/>
      <c r="AP56" s="21"/>
      <c r="AQ56" s="21"/>
      <c r="AR56" s="21"/>
      <c r="AS56" s="21"/>
      <c r="AT56" s="21"/>
      <c r="AU56" s="21"/>
      <c r="AV56" s="21"/>
    </row>
    <row r="57" s="24" customFormat="true" ht="18.75" hidden="false" customHeight="true" outlineLevel="0" collapsed="false">
      <c r="A57" s="22"/>
      <c r="B57" s="23" t="s">
        <v>23</v>
      </c>
      <c r="C57" s="23" t="s">
        <v>24</v>
      </c>
      <c r="D57" s="23"/>
      <c r="E57" s="23"/>
      <c r="F57" s="23" t="s">
        <v>25</v>
      </c>
      <c r="G57" s="23"/>
      <c r="H57" s="23"/>
      <c r="J57" s="23" t="s">
        <v>23</v>
      </c>
      <c r="K57" s="23" t="s">
        <v>24</v>
      </c>
      <c r="L57" s="23"/>
      <c r="M57" s="23"/>
      <c r="N57" s="23" t="s">
        <v>25</v>
      </c>
      <c r="O57" s="23"/>
      <c r="P57" s="23"/>
      <c r="R57" s="23" t="s">
        <v>23</v>
      </c>
      <c r="S57" s="23" t="s">
        <v>24</v>
      </c>
      <c r="T57" s="23"/>
      <c r="U57" s="23"/>
      <c r="V57" s="23" t="s">
        <v>25</v>
      </c>
      <c r="W57" s="23"/>
      <c r="X57" s="23"/>
      <c r="Z57" s="23" t="s">
        <v>23</v>
      </c>
      <c r="AA57" s="23" t="s">
        <v>24</v>
      </c>
      <c r="AB57" s="23"/>
      <c r="AC57" s="23"/>
      <c r="AD57" s="23" t="s">
        <v>25</v>
      </c>
      <c r="AE57" s="23"/>
      <c r="AF57" s="23"/>
      <c r="AH57" s="23" t="s">
        <v>23</v>
      </c>
      <c r="AI57" s="23" t="s">
        <v>24</v>
      </c>
      <c r="AJ57" s="23"/>
      <c r="AK57" s="23"/>
      <c r="AL57" s="23" t="s">
        <v>25</v>
      </c>
      <c r="AM57" s="23"/>
      <c r="AN57" s="23"/>
      <c r="AP57" s="23" t="s">
        <v>23</v>
      </c>
      <c r="AQ57" s="23" t="s">
        <v>24</v>
      </c>
      <c r="AR57" s="23"/>
      <c r="AS57" s="23"/>
      <c r="AT57" s="23" t="s">
        <v>25</v>
      </c>
      <c r="AU57" s="23"/>
      <c r="AV57" s="23"/>
    </row>
    <row r="58" s="24" customFormat="true" ht="18.75" hidden="false" customHeight="true" outlineLevel="0" collapsed="false">
      <c r="A58" s="22"/>
      <c r="B58" s="23"/>
      <c r="C58" s="23" t="s">
        <v>26</v>
      </c>
      <c r="D58" s="23" t="s">
        <v>27</v>
      </c>
      <c r="E58" s="23"/>
      <c r="F58" s="23" t="s">
        <v>26</v>
      </c>
      <c r="G58" s="23" t="s">
        <v>27</v>
      </c>
      <c r="H58" s="23"/>
      <c r="J58" s="23"/>
      <c r="K58" s="23" t="s">
        <v>26</v>
      </c>
      <c r="L58" s="23" t="s">
        <v>27</v>
      </c>
      <c r="M58" s="23"/>
      <c r="N58" s="23" t="s">
        <v>26</v>
      </c>
      <c r="O58" s="23" t="s">
        <v>27</v>
      </c>
      <c r="P58" s="23"/>
      <c r="R58" s="23"/>
      <c r="S58" s="23" t="s">
        <v>26</v>
      </c>
      <c r="T58" s="23" t="s">
        <v>27</v>
      </c>
      <c r="U58" s="23"/>
      <c r="V58" s="23" t="s">
        <v>26</v>
      </c>
      <c r="W58" s="23" t="s">
        <v>27</v>
      </c>
      <c r="X58" s="23"/>
      <c r="Z58" s="23"/>
      <c r="AA58" s="23" t="s">
        <v>26</v>
      </c>
      <c r="AB58" s="23" t="s">
        <v>27</v>
      </c>
      <c r="AC58" s="23"/>
      <c r="AD58" s="23" t="s">
        <v>26</v>
      </c>
      <c r="AE58" s="23" t="s">
        <v>27</v>
      </c>
      <c r="AF58" s="23"/>
      <c r="AH58" s="23"/>
      <c r="AI58" s="23" t="s">
        <v>26</v>
      </c>
      <c r="AJ58" s="23" t="s">
        <v>27</v>
      </c>
      <c r="AK58" s="23"/>
      <c r="AL58" s="23" t="s">
        <v>26</v>
      </c>
      <c r="AM58" s="23" t="s">
        <v>27</v>
      </c>
      <c r="AN58" s="23"/>
      <c r="AP58" s="23"/>
      <c r="AQ58" s="23" t="s">
        <v>26</v>
      </c>
      <c r="AR58" s="23" t="s">
        <v>27</v>
      </c>
      <c r="AS58" s="23"/>
      <c r="AT58" s="23" t="s">
        <v>26</v>
      </c>
      <c r="AU58" s="23" t="s">
        <v>27</v>
      </c>
      <c r="AV58" s="23"/>
    </row>
    <row r="59" s="24" customFormat="true" ht="18.75" hidden="false" customHeight="true" outlineLevel="0" collapsed="false">
      <c r="A59" s="22"/>
      <c r="B59" s="25" t="n">
        <v>1</v>
      </c>
      <c r="C59" s="25" t="n">
        <f aca="false">E34</f>
        <v>1</v>
      </c>
      <c r="D59" s="26" t="n">
        <f aca="false">AVERAGE(VLOOKUP(_xlfn.TEXTSPLIT(C59,", "),$B$4:$D$23,2,0))</f>
        <v>5</v>
      </c>
      <c r="E59" s="26" t="n">
        <f aca="false">AVERAGE(VLOOKUP(_xlfn.TEXTSPLIT(C59,", "),$B$4:$D$23,3,0))</f>
        <v>140</v>
      </c>
      <c r="F59" s="27"/>
      <c r="G59" s="26"/>
      <c r="H59" s="26"/>
      <c r="J59" s="25" t="n">
        <v>1</v>
      </c>
      <c r="K59" s="25" t="n">
        <f aca="false">M34</f>
        <v>1</v>
      </c>
      <c r="L59" s="26" t="n">
        <f aca="false">AVERAGE(VLOOKUP(_xlfn.TEXTSPLIT(K59,", "),$B$4:$D$23,2,0))</f>
        <v>5</v>
      </c>
      <c r="M59" s="26" t="n">
        <f aca="false">AVERAGE(VLOOKUP(_xlfn.TEXTSPLIT(K59,", "),$B$4:$D$23,3,0))</f>
        <v>140</v>
      </c>
      <c r="N59" s="27"/>
      <c r="O59" s="26"/>
      <c r="P59" s="26"/>
      <c r="R59" s="25" t="n">
        <v>1</v>
      </c>
      <c r="S59" s="25" t="n">
        <f aca="false">R34</f>
        <v>1</v>
      </c>
      <c r="T59" s="26" t="n">
        <f aca="false">AVERAGE(VLOOKUP(_xlfn.TEXTSPLIT(S59,", "),$B$4:$D$23,2,0))</f>
        <v>5</v>
      </c>
      <c r="U59" s="26" t="n">
        <f aca="false">AVERAGE(VLOOKUP(_xlfn.TEXTSPLIT(S59,", "),$B$4:$D$23,3,0))</f>
        <v>140</v>
      </c>
      <c r="V59" s="27"/>
      <c r="W59" s="26"/>
      <c r="X59" s="26"/>
      <c r="Z59" s="25" t="n">
        <v>1</v>
      </c>
      <c r="AA59" s="25" t="n">
        <f aca="false">Z34</f>
        <v>1</v>
      </c>
      <c r="AB59" s="26" t="n">
        <f aca="false">AVERAGE(VLOOKUP(_xlfn.TEXTSPLIT(AA59,", "),$B$4:$D$23,2,0))</f>
        <v>5</v>
      </c>
      <c r="AC59" s="26" t="n">
        <f aca="false">AVERAGE(VLOOKUP(_xlfn.TEXTSPLIT(AA59,", "),$B$4:$D$23,3,0))</f>
        <v>140</v>
      </c>
      <c r="AD59" s="27"/>
      <c r="AE59" s="26"/>
      <c r="AF59" s="26"/>
      <c r="AH59" s="25" t="n">
        <v>1</v>
      </c>
      <c r="AI59" s="25" t="n">
        <f aca="false">AH34</f>
        <v>1</v>
      </c>
      <c r="AJ59" s="26" t="n">
        <f aca="false">AVERAGE(VLOOKUP(_xlfn.TEXTSPLIT(AI59,", "),$B$4:$D$23,2,0))</f>
        <v>5</v>
      </c>
      <c r="AK59" s="26" t="n">
        <f aca="false">AVERAGE(VLOOKUP(_xlfn.TEXTSPLIT(AI59,", "),$B$4:$D$23,3,0))</f>
        <v>140</v>
      </c>
      <c r="AL59" s="27"/>
      <c r="AM59" s="26"/>
      <c r="AN59" s="26"/>
      <c r="AP59" s="25" t="n">
        <v>1</v>
      </c>
      <c r="AQ59" s="25" t="n">
        <f aca="false">AP34</f>
        <v>1</v>
      </c>
      <c r="AR59" s="26" t="n">
        <f aca="false">AVERAGE(VLOOKUP(_xlfn.TEXTSPLIT(AQ59,", "),$B$4:$D$23,2,0))</f>
        <v>5</v>
      </c>
      <c r="AS59" s="26" t="n">
        <f aca="false">AVERAGE(VLOOKUP(_xlfn.TEXTSPLIT(AQ59,", "),$B$4:$D$23,3,0))</f>
        <v>140</v>
      </c>
      <c r="AT59" s="27"/>
      <c r="AU59" s="26"/>
      <c r="AV59" s="26"/>
    </row>
    <row r="60" s="24" customFormat="true" ht="18.75" hidden="false" customHeight="true" outlineLevel="0" collapsed="false">
      <c r="A60" s="22"/>
      <c r="B60" s="25" t="n">
        <v>2</v>
      </c>
      <c r="C60" s="28" t="str">
        <f aca="false">C59 &amp; IF(E35=1,", "&amp;$B35,"")</f>
        <v>1, 2</v>
      </c>
      <c r="D60" s="26" t="n">
        <f aca="false">AVERAGE(VLOOKUP(_xlfn.TEXTSPLIT(C60,", "),$B$4:$D$23,2,0))</f>
        <v>5.5</v>
      </c>
      <c r="E60" s="26" t="n">
        <f aca="false">AVERAGE(VLOOKUP(_xlfn.TEXTSPLIT(C60,", "),$B$4:$D$23,3,0))</f>
        <v>145</v>
      </c>
      <c r="F60" s="25"/>
      <c r="G60" s="26"/>
      <c r="H60" s="26"/>
      <c r="J60" s="25" t="n">
        <v>2</v>
      </c>
      <c r="K60" s="28" t="str">
        <f aca="false">K59 &amp; IF(M35=1,", "&amp;$J35,"")</f>
        <v>1, 2</v>
      </c>
      <c r="L60" s="26" t="n">
        <f aca="false">AVERAGE(VLOOKUP(_xlfn.TEXTSPLIT(K60,", "),$B$4:$D$23,2,0))</f>
        <v>5.5</v>
      </c>
      <c r="M60" s="26" t="n">
        <f aca="false">AVERAGE(VLOOKUP(_xlfn.TEXTSPLIT(K60,", "),$B$4:$D$23,3,0))</f>
        <v>145</v>
      </c>
      <c r="N60" s="25"/>
      <c r="O60" s="26"/>
      <c r="P60" s="26"/>
      <c r="R60" s="25" t="n">
        <v>2</v>
      </c>
      <c r="S60" s="28" t="str">
        <f aca="false">S59 &amp; IF(U35=1,", "&amp;R35,"")</f>
        <v>1, 2</v>
      </c>
      <c r="T60" s="26" t="n">
        <f aca="false">AVERAGE(VLOOKUP(_xlfn.TEXTSPLIT(S60,", "),$B$4:$D$23,2,0))</f>
        <v>5.5</v>
      </c>
      <c r="U60" s="26" t="n">
        <f aca="false">AVERAGE(VLOOKUP(_xlfn.TEXTSPLIT(S60,", "),$B$4:$D$23,3,0))</f>
        <v>145</v>
      </c>
      <c r="V60" s="25"/>
      <c r="W60" s="26"/>
      <c r="X60" s="26"/>
      <c r="Z60" s="25" t="n">
        <v>2</v>
      </c>
      <c r="AA60" s="28" t="str">
        <f aca="false">AA59 &amp; IF(AC35=1,", "&amp;Z35,"")</f>
        <v>1, 2</v>
      </c>
      <c r="AB60" s="26" t="n">
        <f aca="false">AVERAGE(VLOOKUP(_xlfn.TEXTSPLIT(AA60,", "),$B$4:$D$23,2,0))</f>
        <v>5.5</v>
      </c>
      <c r="AC60" s="26" t="n">
        <f aca="false">AVERAGE(VLOOKUP(_xlfn.TEXTSPLIT(AA60,", "),$B$4:$D$23,3,0))</f>
        <v>145</v>
      </c>
      <c r="AD60" s="25"/>
      <c r="AE60" s="26"/>
      <c r="AF60" s="26"/>
      <c r="AH60" s="25" t="n">
        <v>2</v>
      </c>
      <c r="AI60" s="28" t="str">
        <f aca="false">AI59 &amp; IF(AK35=1,", "&amp;AH35,"")</f>
        <v>1, 2</v>
      </c>
      <c r="AJ60" s="26" t="n">
        <f aca="false">AVERAGE(VLOOKUP(_xlfn.TEXTSPLIT(AI60,", "),$B$4:$D$23,2,0))</f>
        <v>5.5</v>
      </c>
      <c r="AK60" s="26" t="n">
        <f aca="false">AVERAGE(VLOOKUP(_xlfn.TEXTSPLIT(AI60,", "),$B$4:$D$23,3,0))</f>
        <v>145</v>
      </c>
      <c r="AL60" s="25"/>
      <c r="AM60" s="26"/>
      <c r="AN60" s="26"/>
      <c r="AP60" s="25" t="n">
        <v>2</v>
      </c>
      <c r="AQ60" s="28" t="str">
        <f aca="false">AQ59 &amp; IF(AS35=1,", "&amp;AP35,"")</f>
        <v>1, 2</v>
      </c>
      <c r="AR60" s="26" t="n">
        <f aca="false">AVERAGE(VLOOKUP(_xlfn.TEXTSPLIT(AQ60,", "),$B$4:$D$23,2,0))</f>
        <v>5.5</v>
      </c>
      <c r="AS60" s="26" t="n">
        <f aca="false">AVERAGE(VLOOKUP(_xlfn.TEXTSPLIT(AQ60,", "),$B$4:$D$23,3,0))</f>
        <v>145</v>
      </c>
      <c r="AT60" s="25"/>
      <c r="AU60" s="26"/>
      <c r="AV60" s="26"/>
    </row>
    <row r="61" s="24" customFormat="true" ht="18.75" hidden="false" customHeight="true" outlineLevel="0" collapsed="false">
      <c r="A61" s="22"/>
      <c r="B61" s="25" t="n">
        <v>3</v>
      </c>
      <c r="C61" s="28" t="str">
        <f aca="false">C60 &amp; IF(E36=1,", "&amp;$B36,"")</f>
        <v>1, 2</v>
      </c>
      <c r="D61" s="26" t="n">
        <f aca="false">AVERAGE(VLOOKUP(_xlfn.TEXTSPLIT(C61,", "),$B$4:$D$23,2,0))</f>
        <v>5.5</v>
      </c>
      <c r="E61" s="26" t="n">
        <f aca="false">AVERAGE(VLOOKUP(_xlfn.TEXTSPLIT(C61,", "),$B$4:$D$23,3,0))</f>
        <v>145</v>
      </c>
      <c r="F61" s="25" t="n">
        <f aca="false">B36</f>
        <v>3</v>
      </c>
      <c r="G61" s="26" t="n">
        <f aca="false">AVERAGE(VLOOKUP(_xlfn.TEXTSPLIT(F61,", "),$B$4:$D$23,2,0))</f>
        <v>6</v>
      </c>
      <c r="H61" s="26" t="n">
        <f aca="false">AVERAGE(VLOOKUP(_xlfn.TEXTSPLIT(F61,", "),$B$4:$D$23,3,0))</f>
        <v>160</v>
      </c>
      <c r="J61" s="25" t="n">
        <v>3</v>
      </c>
      <c r="K61" s="28" t="str">
        <f aca="false">K60 &amp; IF(M36=1,", "&amp;$J36,"")</f>
        <v>1, 2, 3</v>
      </c>
      <c r="L61" s="26" t="n">
        <f aca="false">AVERAGE(VLOOKUP(_xlfn.TEXTSPLIT(K61,", "),$B$4:$D$23,2,0))</f>
        <v>5.66666666666667</v>
      </c>
      <c r="M61" s="26" t="n">
        <f aca="false">AVERAGE(VLOOKUP(_xlfn.TEXTSPLIT(K61,", "),$B$4:$D$23,3,0))</f>
        <v>150</v>
      </c>
      <c r="N61" s="25"/>
      <c r="O61" s="26"/>
      <c r="P61" s="26"/>
      <c r="R61" s="25" t="n">
        <v>3</v>
      </c>
      <c r="S61" s="28" t="str">
        <f aca="false">S60 &amp; IF(U36=1,", "&amp;R36,"")</f>
        <v>1, 2, 3</v>
      </c>
      <c r="T61" s="26" t="n">
        <f aca="false">AVERAGE(VLOOKUP(_xlfn.TEXTSPLIT(S61,", "),$B$4:$D$23,2,0))</f>
        <v>5.66666666666667</v>
      </c>
      <c r="U61" s="26" t="n">
        <f aca="false">AVERAGE(VLOOKUP(_xlfn.TEXTSPLIT(S61,", "),$B$4:$D$23,3,0))</f>
        <v>150</v>
      </c>
      <c r="V61" s="25"/>
      <c r="W61" s="26"/>
      <c r="X61" s="26"/>
      <c r="Z61" s="25" t="n">
        <v>3</v>
      </c>
      <c r="AA61" s="28" t="str">
        <f aca="false">AA60 &amp; IF(AC36=1,", "&amp;Z36,"")</f>
        <v>1, 2, 3</v>
      </c>
      <c r="AB61" s="26" t="n">
        <f aca="false">AVERAGE(VLOOKUP(_xlfn.TEXTSPLIT(AA61,", "),$B$4:$D$23,2,0))</f>
        <v>5.66666666666667</v>
      </c>
      <c r="AC61" s="26" t="n">
        <f aca="false">AVERAGE(VLOOKUP(_xlfn.TEXTSPLIT(AA61,", "),$B$4:$D$23,3,0))</f>
        <v>150</v>
      </c>
      <c r="AD61" s="25"/>
      <c r="AE61" s="26"/>
      <c r="AF61" s="26"/>
      <c r="AH61" s="25" t="n">
        <v>3</v>
      </c>
      <c r="AI61" s="28" t="str">
        <f aca="false">AI60 &amp; IF(AK36=1,", "&amp;AH36,"")</f>
        <v>1, 2, 3</v>
      </c>
      <c r="AJ61" s="26" t="n">
        <f aca="false">AVERAGE(VLOOKUP(_xlfn.TEXTSPLIT(AI61,", "),$B$4:$D$23,2,0))</f>
        <v>5.66666666666667</v>
      </c>
      <c r="AK61" s="26" t="n">
        <f aca="false">AVERAGE(VLOOKUP(_xlfn.TEXTSPLIT(AI61,", "),$B$4:$D$23,3,0))</f>
        <v>150</v>
      </c>
      <c r="AL61" s="25"/>
      <c r="AM61" s="26"/>
      <c r="AN61" s="26"/>
      <c r="AP61" s="25" t="n">
        <v>3</v>
      </c>
      <c r="AQ61" s="28" t="str">
        <f aca="false">AQ60 &amp; IF(AS36=1,", "&amp;AP36,"")</f>
        <v>1, 2, 3</v>
      </c>
      <c r="AR61" s="26" t="n">
        <f aca="false">AVERAGE(VLOOKUP(_xlfn.TEXTSPLIT(AQ61,", "),$B$4:$D$23,2,0))</f>
        <v>5.66666666666667</v>
      </c>
      <c r="AS61" s="26" t="n">
        <f aca="false">AVERAGE(VLOOKUP(_xlfn.TEXTSPLIT(AQ61,", "),$B$4:$D$23,3,0))</f>
        <v>150</v>
      </c>
      <c r="AT61" s="25"/>
      <c r="AU61" s="26"/>
      <c r="AV61" s="26"/>
    </row>
    <row r="62" s="24" customFormat="true" ht="18.75" hidden="false" customHeight="true" outlineLevel="0" collapsed="false">
      <c r="A62" s="22"/>
      <c r="B62" s="25" t="n">
        <v>4</v>
      </c>
      <c r="C62" s="28" t="str">
        <f aca="false">C61 &amp; IF(E37=1,", "&amp;$B37,"")</f>
        <v>1, 2</v>
      </c>
      <c r="D62" s="26" t="n">
        <f aca="false">AVERAGE(VLOOKUP(_xlfn.TEXTSPLIT(C62,", "),$B$4:$D$23,2,0))</f>
        <v>5.5</v>
      </c>
      <c r="E62" s="26" t="n">
        <f aca="false">AVERAGE(VLOOKUP(_xlfn.TEXTSPLIT(C62,", "),$B$4:$D$23,3,0))</f>
        <v>145</v>
      </c>
      <c r="F62" s="28" t="str">
        <f aca="false">F61 &amp; IF(E37=2,", "&amp;$B37,"")</f>
        <v>3, 4</v>
      </c>
      <c r="G62" s="26" t="n">
        <f aca="false">AVERAGE(VLOOKUP(_xlfn.TEXTSPLIT(F62,", "),$B$4:$D$23,2,0))</f>
        <v>6.5</v>
      </c>
      <c r="H62" s="26" t="n">
        <f aca="false">AVERAGE(VLOOKUP(_xlfn.TEXTSPLIT(F62,", "),$B$4:$D$23,3,0))</f>
        <v>165</v>
      </c>
      <c r="J62" s="25" t="n">
        <v>4</v>
      </c>
      <c r="K62" s="28" t="str">
        <f aca="false">K61 &amp; IF(M37=1,", "&amp;$J37,"")</f>
        <v>1, 2, 3, 4</v>
      </c>
      <c r="L62" s="26" t="n">
        <f aca="false">AVERAGE(VLOOKUP(_xlfn.TEXTSPLIT(K62,", "),$B$4:$D$23,2,0))</f>
        <v>6</v>
      </c>
      <c r="M62" s="26" t="n">
        <f aca="false">AVERAGE(VLOOKUP(_xlfn.TEXTSPLIT(K62,", "),$B$4:$D$23,3,0))</f>
        <v>155</v>
      </c>
      <c r="N62" s="25"/>
      <c r="O62" s="26"/>
      <c r="P62" s="26"/>
      <c r="R62" s="25" t="n">
        <v>4</v>
      </c>
      <c r="S62" s="28" t="str">
        <f aca="false">S61 &amp; IF(U37=1,", "&amp;R37,"")</f>
        <v>1, 2, 3, 4</v>
      </c>
      <c r="T62" s="26" t="n">
        <f aca="false">AVERAGE(VLOOKUP(_xlfn.TEXTSPLIT(S62,", "),$B$4:$D$23,2,0))</f>
        <v>6</v>
      </c>
      <c r="U62" s="26" t="n">
        <f aca="false">AVERAGE(VLOOKUP(_xlfn.TEXTSPLIT(S62,", "),$B$4:$D$23,3,0))</f>
        <v>155</v>
      </c>
      <c r="V62" s="25"/>
      <c r="W62" s="26"/>
      <c r="X62" s="26"/>
      <c r="Z62" s="25" t="n">
        <v>4</v>
      </c>
      <c r="AA62" s="28" t="str">
        <f aca="false">AA61 &amp; IF(AC37=1,", "&amp;Z37,"")</f>
        <v>1, 2, 3, 4</v>
      </c>
      <c r="AB62" s="26" t="n">
        <f aca="false">AVERAGE(VLOOKUP(_xlfn.TEXTSPLIT(AA62,", "),$B$4:$D$23,2,0))</f>
        <v>6</v>
      </c>
      <c r="AC62" s="26" t="n">
        <f aca="false">AVERAGE(VLOOKUP(_xlfn.TEXTSPLIT(AA62,", "),$B$4:$D$23,3,0))</f>
        <v>155</v>
      </c>
      <c r="AD62" s="25"/>
      <c r="AE62" s="26"/>
      <c r="AF62" s="26"/>
      <c r="AH62" s="25" t="n">
        <v>4</v>
      </c>
      <c r="AI62" s="28" t="str">
        <f aca="false">AI61 &amp; IF(AK37=1,", "&amp;AH37,"")</f>
        <v>1, 2, 3, 4</v>
      </c>
      <c r="AJ62" s="26" t="n">
        <f aca="false">AVERAGE(VLOOKUP(_xlfn.TEXTSPLIT(AI62,", "),$B$4:$D$23,2,0))</f>
        <v>6</v>
      </c>
      <c r="AK62" s="26" t="n">
        <f aca="false">AVERAGE(VLOOKUP(_xlfn.TEXTSPLIT(AI62,", "),$B$4:$D$23,3,0))</f>
        <v>155</v>
      </c>
      <c r="AL62" s="25"/>
      <c r="AM62" s="26"/>
      <c r="AN62" s="26"/>
      <c r="AP62" s="25" t="n">
        <v>4</v>
      </c>
      <c r="AQ62" s="28" t="str">
        <f aca="false">AQ61 &amp; IF(AS37=1,", "&amp;AP37,"")</f>
        <v>1, 2, 3, 4</v>
      </c>
      <c r="AR62" s="26" t="n">
        <f aca="false">AVERAGE(VLOOKUP(_xlfn.TEXTSPLIT(AQ62,", "),$B$4:$D$23,2,0))</f>
        <v>6</v>
      </c>
      <c r="AS62" s="26" t="n">
        <f aca="false">AVERAGE(VLOOKUP(_xlfn.TEXTSPLIT(AQ62,", "),$B$4:$D$23,3,0))</f>
        <v>155</v>
      </c>
      <c r="AT62" s="25"/>
      <c r="AU62" s="26"/>
      <c r="AV62" s="26"/>
    </row>
    <row r="63" s="24" customFormat="true" ht="18.75" hidden="false" customHeight="true" outlineLevel="0" collapsed="false">
      <c r="A63" s="22"/>
      <c r="B63" s="25" t="n">
        <v>5</v>
      </c>
      <c r="C63" s="28" t="str">
        <f aca="false">C62 &amp; IF(E38=1,", "&amp;$B38,"")</f>
        <v>1, 2</v>
      </c>
      <c r="D63" s="26" t="n">
        <f aca="false">AVERAGE(VLOOKUP(_xlfn.TEXTSPLIT(C63,", "),$B$4:$D$23,2,0))</f>
        <v>5.5</v>
      </c>
      <c r="E63" s="26" t="n">
        <f aca="false">AVERAGE(VLOOKUP(_xlfn.TEXTSPLIT(C63,", "),$B$4:$D$23,3,0))</f>
        <v>145</v>
      </c>
      <c r="F63" s="28" t="str">
        <f aca="false">F62 &amp; IF(E38=2,", "&amp;$B38,"")</f>
        <v>3, 4, 5</v>
      </c>
      <c r="G63" s="26" t="n">
        <f aca="false">AVERAGE(VLOOKUP(_xlfn.TEXTSPLIT(F63,", "),$B$4:$D$23,2,0))</f>
        <v>6.66666666666667</v>
      </c>
      <c r="H63" s="26" t="n">
        <f aca="false">AVERAGE(VLOOKUP(_xlfn.TEXTSPLIT(F63,", "),$B$4:$D$23,3,0))</f>
        <v>170</v>
      </c>
      <c r="J63" s="25" t="n">
        <v>5</v>
      </c>
      <c r="K63" s="28" t="str">
        <f aca="false">K62 &amp; IF(M38=1,", "&amp;$J38,"")</f>
        <v>1, 2, 3, 4, 5</v>
      </c>
      <c r="L63" s="26" t="n">
        <f aca="false">AVERAGE(VLOOKUP(_xlfn.TEXTSPLIT(K63,", "),$B$4:$D$23,2,0))</f>
        <v>6.2</v>
      </c>
      <c r="M63" s="26" t="n">
        <f aca="false">AVERAGE(VLOOKUP(_xlfn.TEXTSPLIT(K63,", "),$B$4:$D$23,3,0))</f>
        <v>160</v>
      </c>
      <c r="N63" s="25"/>
      <c r="O63" s="26"/>
      <c r="P63" s="26"/>
      <c r="R63" s="25" t="n">
        <v>5</v>
      </c>
      <c r="S63" s="28" t="str">
        <f aca="false">S62 &amp; IF(U38=1,", "&amp;R38,"")</f>
        <v>1, 2, 3, 4, 5</v>
      </c>
      <c r="T63" s="26" t="n">
        <f aca="false">AVERAGE(VLOOKUP(_xlfn.TEXTSPLIT(S63,", "),$B$4:$D$23,2,0))</f>
        <v>6.2</v>
      </c>
      <c r="U63" s="26" t="n">
        <f aca="false">AVERAGE(VLOOKUP(_xlfn.TEXTSPLIT(S63,", "),$B$4:$D$23,3,0))</f>
        <v>160</v>
      </c>
      <c r="V63" s="25"/>
      <c r="W63" s="26"/>
      <c r="X63" s="26"/>
      <c r="Z63" s="25" t="n">
        <v>5</v>
      </c>
      <c r="AA63" s="28" t="str">
        <f aca="false">AA62 &amp; IF(AC38=1,", "&amp;Z38,"")</f>
        <v>1, 2, 3, 4, 5</v>
      </c>
      <c r="AB63" s="26" t="n">
        <f aca="false">AVERAGE(VLOOKUP(_xlfn.TEXTSPLIT(AA63,", "),$B$4:$D$23,2,0))</f>
        <v>6.2</v>
      </c>
      <c r="AC63" s="26" t="n">
        <f aca="false">AVERAGE(VLOOKUP(_xlfn.TEXTSPLIT(AA63,", "),$B$4:$D$23,3,0))</f>
        <v>160</v>
      </c>
      <c r="AD63" s="25"/>
      <c r="AE63" s="26"/>
      <c r="AF63" s="26"/>
      <c r="AH63" s="25" t="n">
        <v>5</v>
      </c>
      <c r="AI63" s="28" t="str">
        <f aca="false">AI62 &amp; IF(AK38=1,", "&amp;AH38,"")</f>
        <v>1, 2, 3, 4, 5</v>
      </c>
      <c r="AJ63" s="26" t="n">
        <f aca="false">AVERAGE(VLOOKUP(_xlfn.TEXTSPLIT(AI63,", "),$B$4:$D$23,2,0))</f>
        <v>6.2</v>
      </c>
      <c r="AK63" s="26" t="n">
        <f aca="false">AVERAGE(VLOOKUP(_xlfn.TEXTSPLIT(AI63,", "),$B$4:$D$23,3,0))</f>
        <v>160</v>
      </c>
      <c r="AL63" s="25"/>
      <c r="AM63" s="26"/>
      <c r="AN63" s="26"/>
      <c r="AP63" s="25" t="n">
        <v>5</v>
      </c>
      <c r="AQ63" s="28" t="str">
        <f aca="false">AQ62 &amp; IF(AS38=1,", "&amp;AP38,"")</f>
        <v>1, 2, 3, 4, 5</v>
      </c>
      <c r="AR63" s="26" t="n">
        <f aca="false">AVERAGE(VLOOKUP(_xlfn.TEXTSPLIT(AQ63,", "),$B$4:$D$23,2,0))</f>
        <v>6.2</v>
      </c>
      <c r="AS63" s="26" t="n">
        <f aca="false">AVERAGE(VLOOKUP(_xlfn.TEXTSPLIT(AQ63,", "),$B$4:$D$23,3,0))</f>
        <v>160</v>
      </c>
      <c r="AT63" s="25"/>
      <c r="AU63" s="26"/>
      <c r="AV63" s="26"/>
    </row>
    <row r="64" s="24" customFormat="true" ht="18.75" hidden="false" customHeight="true" outlineLevel="0" collapsed="false">
      <c r="A64" s="22"/>
      <c r="B64" s="25" t="n">
        <v>6</v>
      </c>
      <c r="C64" s="28" t="str">
        <f aca="false">C63 &amp; IF(E39=1,", "&amp;$B39,"")</f>
        <v>1, 2</v>
      </c>
      <c r="D64" s="26" t="n">
        <f aca="false">AVERAGE(VLOOKUP(_xlfn.TEXTSPLIT(C64,", "),$B$4:$D$23,2,0))</f>
        <v>5.5</v>
      </c>
      <c r="E64" s="26" t="n">
        <f aca="false">AVERAGE(VLOOKUP(_xlfn.TEXTSPLIT(C64,", "),$B$4:$D$23,3,0))</f>
        <v>145</v>
      </c>
      <c r="F64" s="28" t="str">
        <f aca="false">F63 &amp; IF(E39=2,", "&amp;$B39,"")</f>
        <v>3, 4, 5, 6</v>
      </c>
      <c r="G64" s="26" t="n">
        <f aca="false">AVERAGE(VLOOKUP(_xlfn.TEXTSPLIT(F64,", "),$B$4:$D$23,2,0))</f>
        <v>7</v>
      </c>
      <c r="H64" s="26" t="n">
        <f aca="false">AVERAGE(VLOOKUP(_xlfn.TEXTSPLIT(F64,", "),$B$4:$D$23,3,0))</f>
        <v>177.5</v>
      </c>
      <c r="J64" s="25" t="n">
        <v>6</v>
      </c>
      <c r="K64" s="28" t="str">
        <f aca="false">K63 &amp; IF(M39=1,", "&amp;$J39,"")</f>
        <v>1, 2, 3, 4, 5</v>
      </c>
      <c r="L64" s="26" t="n">
        <f aca="false">AVERAGE(VLOOKUP(_xlfn.TEXTSPLIT(K64,", "),$B$4:$D$23,2,0))</f>
        <v>6.2</v>
      </c>
      <c r="M64" s="26" t="n">
        <f aca="false">AVERAGE(VLOOKUP(_xlfn.TEXTSPLIT(K64,", "),$B$4:$D$23,3,0))</f>
        <v>160</v>
      </c>
      <c r="N64" s="25" t="n">
        <f aca="false">J39</f>
        <v>6</v>
      </c>
      <c r="O64" s="26" t="n">
        <f aca="false">AVERAGE(VLOOKUP(_xlfn.TEXTSPLIT(N64,", "),$B$4:$D$23,2,0))</f>
        <v>8</v>
      </c>
      <c r="P64" s="26" t="n">
        <f aca="false">AVERAGE(VLOOKUP(_xlfn.TEXTSPLIT(N64,", "),$B$4:$D$23,3,0))</f>
        <v>200</v>
      </c>
      <c r="R64" s="25" t="n">
        <v>6</v>
      </c>
      <c r="S64" s="28" t="str">
        <f aca="false">S63 &amp; IF(U39=1,", "&amp;R39,"")</f>
        <v>1, 2, 3, 4, 5, 6</v>
      </c>
      <c r="T64" s="26" t="n">
        <f aca="false">AVERAGE(VLOOKUP(_xlfn.TEXTSPLIT(S64,", "),$B$4:$D$23,2,0))</f>
        <v>6.5</v>
      </c>
      <c r="U64" s="26" t="n">
        <f aca="false">AVERAGE(VLOOKUP(_xlfn.TEXTSPLIT(S64,", "),$B$4:$D$23,3,0))</f>
        <v>166.666666666667</v>
      </c>
      <c r="V64" s="25"/>
      <c r="W64" s="26"/>
      <c r="X64" s="26"/>
      <c r="Z64" s="25" t="n">
        <v>6</v>
      </c>
      <c r="AA64" s="28" t="str">
        <f aca="false">AA63 &amp; IF(AC39=1,", "&amp;Z39,"")</f>
        <v>1, 2, 3, 4, 5, 6</v>
      </c>
      <c r="AB64" s="26" t="n">
        <f aca="false">AVERAGE(VLOOKUP(_xlfn.TEXTSPLIT(AA64,", "),$B$4:$D$23,2,0))</f>
        <v>6.5</v>
      </c>
      <c r="AC64" s="26" t="n">
        <f aca="false">AVERAGE(VLOOKUP(_xlfn.TEXTSPLIT(AA64,", "),$B$4:$D$23,3,0))</f>
        <v>166.666666666667</v>
      </c>
      <c r="AD64" s="25"/>
      <c r="AE64" s="26"/>
      <c r="AF64" s="26"/>
      <c r="AH64" s="25" t="n">
        <v>6</v>
      </c>
      <c r="AI64" s="28" t="str">
        <f aca="false">AI63 &amp; IF(AK39=1,", "&amp;AH39,"")</f>
        <v>1, 2, 3, 4, 5, 6</v>
      </c>
      <c r="AJ64" s="26" t="n">
        <f aca="false">AVERAGE(VLOOKUP(_xlfn.TEXTSPLIT(AI64,", "),$B$4:$D$23,2,0))</f>
        <v>6.5</v>
      </c>
      <c r="AK64" s="26" t="n">
        <f aca="false">AVERAGE(VLOOKUP(_xlfn.TEXTSPLIT(AI64,", "),$B$4:$D$23,3,0))</f>
        <v>166.666666666667</v>
      </c>
      <c r="AL64" s="25"/>
      <c r="AM64" s="26"/>
      <c r="AN64" s="26"/>
      <c r="AP64" s="25" t="n">
        <v>6</v>
      </c>
      <c r="AQ64" s="28" t="str">
        <f aca="false">AQ63 &amp; IF(AS39=1,", "&amp;AP39,"")</f>
        <v>1, 2, 3, 4, 5, 6</v>
      </c>
      <c r="AR64" s="26" t="n">
        <f aca="false">AVERAGE(VLOOKUP(_xlfn.TEXTSPLIT(AQ64,", "),$B$4:$D$23,2,0))</f>
        <v>6.5</v>
      </c>
      <c r="AS64" s="26" t="n">
        <f aca="false">AVERAGE(VLOOKUP(_xlfn.TEXTSPLIT(AQ64,", "),$B$4:$D$23,3,0))</f>
        <v>166.666666666667</v>
      </c>
      <c r="AT64" s="25"/>
      <c r="AU64" s="26"/>
      <c r="AV64" s="26"/>
    </row>
    <row r="65" s="24" customFormat="true" ht="18.75" hidden="false" customHeight="true" outlineLevel="0" collapsed="false">
      <c r="A65" s="22"/>
      <c r="B65" s="25" t="n">
        <v>7</v>
      </c>
      <c r="C65" s="28" t="str">
        <f aca="false">C64 &amp; IF(E40=1,", "&amp;$B40,"")</f>
        <v>1, 2</v>
      </c>
      <c r="D65" s="26" t="n">
        <f aca="false">AVERAGE(VLOOKUP(_xlfn.TEXTSPLIT(C65,", "),$B$4:$D$23,2,0))</f>
        <v>5.5</v>
      </c>
      <c r="E65" s="26" t="n">
        <f aca="false">AVERAGE(VLOOKUP(_xlfn.TEXTSPLIT(C65,", "),$B$4:$D$23,3,0))</f>
        <v>145</v>
      </c>
      <c r="F65" s="28" t="str">
        <f aca="false">F64 &amp; IF(E40=2,", "&amp;$B40,"")</f>
        <v>3, 4, 5, 6, 7</v>
      </c>
      <c r="G65" s="26" t="n">
        <f aca="false">AVERAGE(VLOOKUP(_xlfn.TEXTSPLIT(F65,", "),$B$4:$D$23,2,0))</f>
        <v>7.2</v>
      </c>
      <c r="H65" s="26" t="n">
        <f aca="false">AVERAGE(VLOOKUP(_xlfn.TEXTSPLIT(F65,", "),$B$4:$D$23,3,0))</f>
        <v>184</v>
      </c>
      <c r="J65" s="25" t="n">
        <v>7</v>
      </c>
      <c r="K65" s="28" t="str">
        <f aca="false">K64 &amp; IF(M40=1,", "&amp;$J40,"")</f>
        <v>1, 2, 3, 4, 5</v>
      </c>
      <c r="L65" s="26" t="n">
        <f aca="false">AVERAGE(VLOOKUP(_xlfn.TEXTSPLIT(K65,", "),$B$4:$D$23,2,0))</f>
        <v>6.2</v>
      </c>
      <c r="M65" s="26" t="n">
        <f aca="false">AVERAGE(VLOOKUP(_xlfn.TEXTSPLIT(K65,", "),$B$4:$D$23,3,0))</f>
        <v>160</v>
      </c>
      <c r="N65" s="28" t="str">
        <f aca="false">N64 &amp; IF(M40=2,", "&amp;$J40,"")</f>
        <v>6, 7</v>
      </c>
      <c r="O65" s="26" t="n">
        <f aca="false">AVERAGE(VLOOKUP(_xlfn.TEXTSPLIT(N65,", "),$B$4:$D$23,2,0))</f>
        <v>8</v>
      </c>
      <c r="P65" s="26" t="n">
        <f aca="false">AVERAGE(VLOOKUP(_xlfn.TEXTSPLIT(N65,", "),$B$4:$D$23,3,0))</f>
        <v>205</v>
      </c>
      <c r="R65" s="25" t="n">
        <v>7</v>
      </c>
      <c r="S65" s="28" t="str">
        <f aca="false">S64 &amp; IF(U40=1,", "&amp;R40,"")</f>
        <v>1, 2, 3, 4, 5, 6</v>
      </c>
      <c r="T65" s="26" t="n">
        <f aca="false">AVERAGE(VLOOKUP(_xlfn.TEXTSPLIT(S65,", "),$B$4:$D$23,2,0))</f>
        <v>6.5</v>
      </c>
      <c r="U65" s="26" t="n">
        <f aca="false">AVERAGE(VLOOKUP(_xlfn.TEXTSPLIT(S65,", "),$B$4:$D$23,3,0))</f>
        <v>166.666666666667</v>
      </c>
      <c r="V65" s="25" t="n">
        <f aca="false">R40</f>
        <v>7</v>
      </c>
      <c r="W65" s="26" t="n">
        <f aca="false">AVERAGE(VLOOKUP(_xlfn.TEXTSPLIT(V65,", "),$B$4:$D$23,2,0))</f>
        <v>8</v>
      </c>
      <c r="X65" s="26" t="n">
        <f aca="false">AVERAGE(VLOOKUP(_xlfn.TEXTSPLIT(V65,", "),$B$4:$D$23,3,0))</f>
        <v>210</v>
      </c>
      <c r="Z65" s="25" t="n">
        <v>7</v>
      </c>
      <c r="AA65" s="28" t="str">
        <f aca="false">AA64 &amp; IF(AC40=1,", "&amp;Z40,"")</f>
        <v>1, 2, 3, 4, 5, 6</v>
      </c>
      <c r="AB65" s="26" t="n">
        <f aca="false">AVERAGE(VLOOKUP(_xlfn.TEXTSPLIT(AA65,", "),$B$4:$D$23,2,0))</f>
        <v>6.5</v>
      </c>
      <c r="AC65" s="26" t="n">
        <f aca="false">AVERAGE(VLOOKUP(_xlfn.TEXTSPLIT(AA65,", "),$B$4:$D$23,3,0))</f>
        <v>166.666666666667</v>
      </c>
      <c r="AD65" s="25" t="n">
        <f aca="false">Z40</f>
        <v>7</v>
      </c>
      <c r="AE65" s="26" t="n">
        <f aca="false">AVERAGE(VLOOKUP(_xlfn.TEXTSPLIT(AD65,", "),$B$4:$D$23,2,0))</f>
        <v>8</v>
      </c>
      <c r="AF65" s="26" t="n">
        <f aca="false">AVERAGE(VLOOKUP(_xlfn.TEXTSPLIT(AD65,", "),$B$4:$D$23,3,0))</f>
        <v>210</v>
      </c>
      <c r="AH65" s="25" t="n">
        <v>7</v>
      </c>
      <c r="AI65" s="28" t="str">
        <f aca="false">AI64 &amp; IF(AK40=1,", "&amp;AH40,"")</f>
        <v>1, 2, 3, 4, 5, 6, 7</v>
      </c>
      <c r="AJ65" s="26" t="n">
        <f aca="false">AVERAGE(VLOOKUP(_xlfn.TEXTSPLIT(AI65,", "),$B$4:$D$23,2,0))</f>
        <v>6.71428571428571</v>
      </c>
      <c r="AK65" s="26" t="n">
        <f aca="false">AVERAGE(VLOOKUP(_xlfn.TEXTSPLIT(AI65,", "),$B$4:$D$23,3,0))</f>
        <v>172.857142857143</v>
      </c>
      <c r="AL65" s="25"/>
      <c r="AM65" s="26"/>
      <c r="AN65" s="26"/>
      <c r="AP65" s="25" t="n">
        <v>7</v>
      </c>
      <c r="AQ65" s="28" t="str">
        <f aca="false">AQ64 &amp; IF(AS40=1,", "&amp;AP40,"")</f>
        <v>1, 2, 3, 4, 5, 6, 7</v>
      </c>
      <c r="AR65" s="26" t="n">
        <f aca="false">AVERAGE(VLOOKUP(_xlfn.TEXTSPLIT(AQ65,", "),$B$4:$D$23,2,0))</f>
        <v>6.71428571428571</v>
      </c>
      <c r="AS65" s="26" t="n">
        <f aca="false">AVERAGE(VLOOKUP(_xlfn.TEXTSPLIT(AQ65,", "),$B$4:$D$23,3,0))</f>
        <v>172.857142857143</v>
      </c>
      <c r="AT65" s="25"/>
      <c r="AU65" s="26"/>
      <c r="AV65" s="26"/>
    </row>
    <row r="66" s="24" customFormat="true" ht="18.75" hidden="false" customHeight="true" outlineLevel="0" collapsed="false">
      <c r="A66" s="22"/>
      <c r="B66" s="25" t="n">
        <v>8</v>
      </c>
      <c r="C66" s="28" t="str">
        <f aca="false">C65 &amp; IF(E41=1,", "&amp;$B41,"")</f>
        <v>1, 2</v>
      </c>
      <c r="D66" s="26" t="n">
        <f aca="false">AVERAGE(VLOOKUP(_xlfn.TEXTSPLIT(C66,", "),$B$4:$D$23,2,0))</f>
        <v>5.5</v>
      </c>
      <c r="E66" s="26" t="n">
        <f aca="false">AVERAGE(VLOOKUP(_xlfn.TEXTSPLIT(C66,", "),$B$4:$D$23,3,0))</f>
        <v>145</v>
      </c>
      <c r="F66" s="28" t="str">
        <f aca="false">F65 &amp; IF(E41=2,", "&amp;$B41,"")</f>
        <v>3, 4, 5, 6, 7, 8</v>
      </c>
      <c r="G66" s="26" t="n">
        <f aca="false">AVERAGE(VLOOKUP(_xlfn.TEXTSPLIT(F66,", "),$B$4:$D$23,2,0))</f>
        <v>7.5</v>
      </c>
      <c r="H66" s="26" t="n">
        <f aca="false">AVERAGE(VLOOKUP(_xlfn.TEXTSPLIT(F66,", "),$B$4:$D$23,3,0))</f>
        <v>190</v>
      </c>
      <c r="J66" s="25" t="n">
        <v>8</v>
      </c>
      <c r="K66" s="28" t="str">
        <f aca="false">K65 &amp; IF(M41=1,", "&amp;$J41,"")</f>
        <v>1, 2, 3, 4, 5</v>
      </c>
      <c r="L66" s="26" t="n">
        <f aca="false">AVERAGE(VLOOKUP(_xlfn.TEXTSPLIT(K66,", "),$B$4:$D$23,2,0))</f>
        <v>6.2</v>
      </c>
      <c r="M66" s="26" t="n">
        <f aca="false">AVERAGE(VLOOKUP(_xlfn.TEXTSPLIT(K66,", "),$B$4:$D$23,3,0))</f>
        <v>160</v>
      </c>
      <c r="N66" s="28" t="str">
        <f aca="false">N65 &amp; IF(M41=2,", "&amp;$J41,"")</f>
        <v>6, 7, 8</v>
      </c>
      <c r="O66" s="26" t="n">
        <f aca="false">AVERAGE(VLOOKUP(_xlfn.TEXTSPLIT(N66,", "),$B$4:$D$23,2,0))</f>
        <v>8.33333333333333</v>
      </c>
      <c r="P66" s="26" t="n">
        <f aca="false">AVERAGE(VLOOKUP(_xlfn.TEXTSPLIT(N66,", "),$B$4:$D$23,3,0))</f>
        <v>210</v>
      </c>
      <c r="R66" s="25" t="n">
        <v>8</v>
      </c>
      <c r="S66" s="28" t="str">
        <f aca="false">S65 &amp; IF(U41=1,", "&amp;R41,"")</f>
        <v>1, 2, 3, 4, 5, 6</v>
      </c>
      <c r="T66" s="26" t="n">
        <f aca="false">AVERAGE(VLOOKUP(_xlfn.TEXTSPLIT(S66,", "),$B$4:$D$23,2,0))</f>
        <v>6.5</v>
      </c>
      <c r="U66" s="26" t="n">
        <f aca="false">AVERAGE(VLOOKUP(_xlfn.TEXTSPLIT(S66,", "),$B$4:$D$23,3,0))</f>
        <v>166.666666666667</v>
      </c>
      <c r="V66" s="28" t="str">
        <f aca="false">V65 &amp; IF(U41=2,", "&amp;R41,"")</f>
        <v>7, 8</v>
      </c>
      <c r="W66" s="26" t="n">
        <f aca="false">AVERAGE(VLOOKUP(_xlfn.TEXTSPLIT(V66,", "),$B$4:$D$23,2,0))</f>
        <v>8.5</v>
      </c>
      <c r="X66" s="26" t="n">
        <f aca="false">AVERAGE(VLOOKUP(_xlfn.TEXTSPLIT(V66,", "),$B$4:$D$23,3,0))</f>
        <v>215</v>
      </c>
      <c r="Z66" s="25" t="n">
        <v>8</v>
      </c>
      <c r="AA66" s="28" t="str">
        <f aca="false">AA65 &amp; IF(AC41=1,", "&amp;Z41,"")</f>
        <v>1, 2, 3, 4, 5, 6</v>
      </c>
      <c r="AB66" s="26" t="n">
        <f aca="false">AVERAGE(VLOOKUP(_xlfn.TEXTSPLIT(AA66,", "),$B$4:$D$23,2,0))</f>
        <v>6.5</v>
      </c>
      <c r="AC66" s="26" t="n">
        <f aca="false">AVERAGE(VLOOKUP(_xlfn.TEXTSPLIT(AA66,", "),$B$4:$D$23,3,0))</f>
        <v>166.666666666667</v>
      </c>
      <c r="AD66" s="28" t="str">
        <f aca="false">AD65 &amp; IF(AC41=2,", "&amp;Z41,"")</f>
        <v>7, 8</v>
      </c>
      <c r="AE66" s="26" t="n">
        <f aca="false">AVERAGE(VLOOKUP(_xlfn.TEXTSPLIT(AD66,", "),$B$4:$D$23,2,0))</f>
        <v>8.5</v>
      </c>
      <c r="AF66" s="26" t="n">
        <f aca="false">AVERAGE(VLOOKUP(_xlfn.TEXTSPLIT(AD66,", "),$B$4:$D$23,3,0))</f>
        <v>215</v>
      </c>
      <c r="AH66" s="25" t="n">
        <v>8</v>
      </c>
      <c r="AI66" s="28" t="str">
        <f aca="false">AI65 &amp; IF(AK41=1,", "&amp;AH41,"")</f>
        <v>1, 2, 3, 4, 5, 6, 7</v>
      </c>
      <c r="AJ66" s="26" t="n">
        <f aca="false">AVERAGE(VLOOKUP(_xlfn.TEXTSPLIT(AI66,", "),$B$4:$D$23,2,0))</f>
        <v>6.71428571428571</v>
      </c>
      <c r="AK66" s="26" t="n">
        <f aca="false">AVERAGE(VLOOKUP(_xlfn.TEXTSPLIT(AI66,", "),$B$4:$D$23,3,0))</f>
        <v>172.857142857143</v>
      </c>
      <c r="AL66" s="29" t="n">
        <f aca="false">AH41</f>
        <v>8</v>
      </c>
      <c r="AM66" s="26" t="n">
        <f aca="false">AVERAGE(VLOOKUP(_xlfn.TEXTSPLIT(AL66,", "),$B$4:$D$23,2,0))</f>
        <v>9</v>
      </c>
      <c r="AN66" s="26" t="n">
        <f aca="false">AVERAGE(VLOOKUP(_xlfn.TEXTSPLIT(AL66,", "),$B$4:$D$23,3,0))</f>
        <v>220</v>
      </c>
      <c r="AP66" s="25" t="n">
        <v>8</v>
      </c>
      <c r="AQ66" s="28" t="str">
        <f aca="false">AQ65 &amp; IF(AS41=1,", "&amp;AP41,"")</f>
        <v>1, 2, 3, 4, 5, 6, 7</v>
      </c>
      <c r="AR66" s="26" t="n">
        <f aca="false">AVERAGE(VLOOKUP(_xlfn.TEXTSPLIT(AQ66,", "),$B$4:$D$23,2,0))</f>
        <v>6.71428571428571</v>
      </c>
      <c r="AS66" s="26" t="n">
        <f aca="false">AVERAGE(VLOOKUP(_xlfn.TEXTSPLIT(AQ66,", "),$B$4:$D$23,3,0))</f>
        <v>172.857142857143</v>
      </c>
      <c r="AT66" s="29" t="n">
        <f aca="false">AP41</f>
        <v>8</v>
      </c>
      <c r="AU66" s="26" t="n">
        <f aca="false">AVERAGE(VLOOKUP(_xlfn.TEXTSPLIT(AT66,", "),$B$4:$D$23,2,0))</f>
        <v>9</v>
      </c>
      <c r="AV66" s="26" t="n">
        <f aca="false">AVERAGE(VLOOKUP(_xlfn.TEXTSPLIT(AT66,", "),$B$4:$D$23,3,0))</f>
        <v>220</v>
      </c>
    </row>
    <row r="67" s="24" customFormat="true" ht="18.75" hidden="false" customHeight="true" outlineLevel="0" collapsed="false">
      <c r="A67" s="22"/>
      <c r="B67" s="25" t="n">
        <v>9</v>
      </c>
      <c r="C67" s="28" t="str">
        <f aca="false">C66 &amp; IF(E42=1,", "&amp;$B42,"")</f>
        <v>1, 2</v>
      </c>
      <c r="D67" s="26" t="n">
        <f aca="false">AVERAGE(VLOOKUP(_xlfn.TEXTSPLIT(C67,", "),$B$4:$D$23,2,0))</f>
        <v>5.5</v>
      </c>
      <c r="E67" s="26" t="n">
        <f aca="false">AVERAGE(VLOOKUP(_xlfn.TEXTSPLIT(C67,", "),$B$4:$D$23,3,0))</f>
        <v>145</v>
      </c>
      <c r="F67" s="28" t="str">
        <f aca="false">F66 &amp; IF(E42=2,", "&amp;$B42,"")</f>
        <v>3, 4, 5, 6, 7, 8, 9</v>
      </c>
      <c r="G67" s="26" t="n">
        <f aca="false">AVERAGE(VLOOKUP(_xlfn.TEXTSPLIT(F67,", "),$B$4:$D$23,2,0))</f>
        <v>7.71428571428571</v>
      </c>
      <c r="H67" s="26" t="n">
        <f aca="false">AVERAGE(VLOOKUP(_xlfn.TEXTSPLIT(F67,", "),$B$4:$D$23,3,0))</f>
        <v>195.714285714286</v>
      </c>
      <c r="J67" s="25" t="n">
        <v>9</v>
      </c>
      <c r="K67" s="28" t="str">
        <f aca="false">K66 &amp; IF(M42=1,", "&amp;$J42,"")</f>
        <v>1, 2, 3, 4, 5</v>
      </c>
      <c r="L67" s="26" t="n">
        <f aca="false">AVERAGE(VLOOKUP(_xlfn.TEXTSPLIT(K67,", "),$B$4:$D$23,2,0))</f>
        <v>6.2</v>
      </c>
      <c r="M67" s="26" t="n">
        <f aca="false">AVERAGE(VLOOKUP(_xlfn.TEXTSPLIT(K67,", "),$B$4:$D$23,3,0))</f>
        <v>160</v>
      </c>
      <c r="N67" s="28" t="str">
        <f aca="false">N66 &amp; IF(M42=2,", "&amp;$J42,"")</f>
        <v>6, 7, 8, 9</v>
      </c>
      <c r="O67" s="26" t="n">
        <f aca="false">AVERAGE(VLOOKUP(_xlfn.TEXTSPLIT(N67,", "),$B$4:$D$23,2,0))</f>
        <v>8.5</v>
      </c>
      <c r="P67" s="26" t="n">
        <f aca="false">AVERAGE(VLOOKUP(_xlfn.TEXTSPLIT(N67,", "),$B$4:$D$23,3,0))</f>
        <v>215</v>
      </c>
      <c r="R67" s="25" t="n">
        <v>9</v>
      </c>
      <c r="S67" s="28" t="str">
        <f aca="false">S66 &amp; IF(U42=1,", "&amp;R42,"")</f>
        <v>1, 2, 3, 4, 5, 6</v>
      </c>
      <c r="T67" s="26" t="n">
        <f aca="false">AVERAGE(VLOOKUP(_xlfn.TEXTSPLIT(S67,", "),$B$4:$D$23,2,0))</f>
        <v>6.5</v>
      </c>
      <c r="U67" s="26" t="n">
        <f aca="false">AVERAGE(VLOOKUP(_xlfn.TEXTSPLIT(S67,", "),$B$4:$D$23,3,0))</f>
        <v>166.666666666667</v>
      </c>
      <c r="V67" s="28" t="str">
        <f aca="false">V66 &amp; IF(U42=2,", "&amp;R42,"")</f>
        <v>7, 8, 9</v>
      </c>
      <c r="W67" s="26" t="n">
        <f aca="false">AVERAGE(VLOOKUP(_xlfn.TEXTSPLIT(V67,", "),$B$4:$D$23,2,0))</f>
        <v>8.66666666666667</v>
      </c>
      <c r="X67" s="26" t="n">
        <f aca="false">AVERAGE(VLOOKUP(_xlfn.TEXTSPLIT(V67,", "),$B$4:$D$23,3,0))</f>
        <v>220</v>
      </c>
      <c r="Z67" s="25" t="n">
        <v>9</v>
      </c>
      <c r="AA67" s="28" t="str">
        <f aca="false">AA66 &amp; IF(AC42=1,", "&amp;Z42,"")</f>
        <v>1, 2, 3, 4, 5, 6</v>
      </c>
      <c r="AB67" s="26" t="n">
        <f aca="false">AVERAGE(VLOOKUP(_xlfn.TEXTSPLIT(AA67,", "),$B$4:$D$23,2,0))</f>
        <v>6.5</v>
      </c>
      <c r="AC67" s="26" t="n">
        <f aca="false">AVERAGE(VLOOKUP(_xlfn.TEXTSPLIT(AA67,", "),$B$4:$D$23,3,0))</f>
        <v>166.666666666667</v>
      </c>
      <c r="AD67" s="28" t="str">
        <f aca="false">AD66 &amp; IF(AC42=2,", "&amp;Z42,"")</f>
        <v>7, 8, 9</v>
      </c>
      <c r="AE67" s="26" t="n">
        <f aca="false">AVERAGE(VLOOKUP(_xlfn.TEXTSPLIT(AD67,", "),$B$4:$D$23,2,0))</f>
        <v>8.66666666666667</v>
      </c>
      <c r="AF67" s="26" t="n">
        <f aca="false">AVERAGE(VLOOKUP(_xlfn.TEXTSPLIT(AD67,", "),$B$4:$D$23,3,0))</f>
        <v>220</v>
      </c>
      <c r="AH67" s="25" t="n">
        <v>9</v>
      </c>
      <c r="AI67" s="28" t="str">
        <f aca="false">AI66 &amp; IF(AK42=1,", "&amp;AH42,"")</f>
        <v>1, 2, 3, 4, 5, 6, 7</v>
      </c>
      <c r="AJ67" s="26" t="n">
        <f aca="false">AVERAGE(VLOOKUP(_xlfn.TEXTSPLIT(AI67,", "),$B$4:$D$23,2,0))</f>
        <v>6.71428571428571</v>
      </c>
      <c r="AK67" s="26" t="n">
        <f aca="false">AVERAGE(VLOOKUP(_xlfn.TEXTSPLIT(AI67,", "),$B$4:$D$23,3,0))</f>
        <v>172.857142857143</v>
      </c>
      <c r="AL67" s="28" t="str">
        <f aca="false">AL66 &amp; IF(AK42=2,", "&amp;AH42,"")</f>
        <v>8, 9</v>
      </c>
      <c r="AM67" s="26" t="n">
        <f aca="false">AVERAGE(VLOOKUP(_xlfn.TEXTSPLIT(AL67,", "),$B$4:$D$23,2,0))</f>
        <v>9</v>
      </c>
      <c r="AN67" s="26" t="n">
        <f aca="false">AVERAGE(VLOOKUP(_xlfn.TEXTSPLIT(AL67,", "),$B$4:$D$23,3,0))</f>
        <v>225</v>
      </c>
      <c r="AP67" s="25" t="n">
        <v>9</v>
      </c>
      <c r="AQ67" s="28" t="str">
        <f aca="false">AQ66 &amp; IF(AS42=1,", "&amp;AP42,"")</f>
        <v>1, 2, 3, 4, 5, 6, 7</v>
      </c>
      <c r="AR67" s="26" t="n">
        <f aca="false">AVERAGE(VLOOKUP(_xlfn.TEXTSPLIT(AQ67,", "),$B$4:$D$23,2,0))</f>
        <v>6.71428571428571</v>
      </c>
      <c r="AS67" s="26" t="n">
        <f aca="false">AVERAGE(VLOOKUP(_xlfn.TEXTSPLIT(AQ67,", "),$B$4:$D$23,3,0))</f>
        <v>172.857142857143</v>
      </c>
      <c r="AT67" s="28" t="str">
        <f aca="false">AT66 &amp; IF(AS42=2,", "&amp;AP42,"")</f>
        <v>8, 9</v>
      </c>
      <c r="AU67" s="26" t="n">
        <f aca="false">AVERAGE(VLOOKUP(_xlfn.TEXTSPLIT(AT67,", "),$B$4:$D$23,2,0))</f>
        <v>9</v>
      </c>
      <c r="AV67" s="26" t="n">
        <f aca="false">AVERAGE(VLOOKUP(_xlfn.TEXTSPLIT(AT67,", "),$B$4:$D$23,3,0))</f>
        <v>225</v>
      </c>
    </row>
    <row r="68" s="24" customFormat="true" ht="18.75" hidden="false" customHeight="true" outlineLevel="0" collapsed="false">
      <c r="A68" s="22"/>
      <c r="B68" s="25" t="n">
        <v>10</v>
      </c>
      <c r="C68" s="28" t="str">
        <f aca="false">C67 &amp; IF(E43=1,", "&amp;$B43,"")</f>
        <v>1, 2</v>
      </c>
      <c r="D68" s="26" t="n">
        <f aca="false">AVERAGE(VLOOKUP(_xlfn.TEXTSPLIT(C68,", "),$B$4:$D$23,2,0))</f>
        <v>5.5</v>
      </c>
      <c r="E68" s="26" t="n">
        <f aca="false">AVERAGE(VLOOKUP(_xlfn.TEXTSPLIT(C68,", "),$B$4:$D$23,3,0))</f>
        <v>145</v>
      </c>
      <c r="F68" s="28" t="str">
        <f aca="false">F67 &amp; IF(E43=2,", "&amp;$B43,"")</f>
        <v>3, 4, 5, 6, 7, 8, 9, 10</v>
      </c>
      <c r="G68" s="26" t="n">
        <f aca="false">AVERAGE(VLOOKUP(_xlfn.TEXTSPLIT(F68,", "),$B$4:$D$23,2,0))</f>
        <v>8</v>
      </c>
      <c r="H68" s="26" t="n">
        <f aca="false">AVERAGE(VLOOKUP(_xlfn.TEXTSPLIT(F68,", "),$B$4:$D$23,3,0))</f>
        <v>202.5</v>
      </c>
      <c r="J68" s="25" t="n">
        <v>10</v>
      </c>
      <c r="K68" s="28" t="str">
        <f aca="false">K67 &amp; IF(M43=1,", "&amp;$J43,"")</f>
        <v>1, 2, 3, 4, 5</v>
      </c>
      <c r="L68" s="26" t="n">
        <f aca="false">AVERAGE(VLOOKUP(_xlfn.TEXTSPLIT(K68,", "),$B$4:$D$23,2,0))</f>
        <v>6.2</v>
      </c>
      <c r="M68" s="26" t="n">
        <f aca="false">AVERAGE(VLOOKUP(_xlfn.TEXTSPLIT(K68,", "),$B$4:$D$23,3,0))</f>
        <v>160</v>
      </c>
      <c r="N68" s="28" t="str">
        <f aca="false">N67 &amp; IF(M43=2,", "&amp;$J43,"")</f>
        <v>6, 7, 8, 9, 10</v>
      </c>
      <c r="O68" s="26" t="n">
        <f aca="false">AVERAGE(VLOOKUP(_xlfn.TEXTSPLIT(N68,", "),$B$4:$D$23,2,0))</f>
        <v>8.8</v>
      </c>
      <c r="P68" s="26" t="n">
        <f aca="false">AVERAGE(VLOOKUP(_xlfn.TEXTSPLIT(N68,", "),$B$4:$D$23,3,0))</f>
        <v>222</v>
      </c>
      <c r="R68" s="25" t="n">
        <v>10</v>
      </c>
      <c r="S68" s="28" t="str">
        <f aca="false">S67 &amp; IF(U43=1,", "&amp;R43,"")</f>
        <v>1, 2, 3, 4, 5, 6</v>
      </c>
      <c r="T68" s="26" t="n">
        <f aca="false">AVERAGE(VLOOKUP(_xlfn.TEXTSPLIT(S68,", "),$B$4:$D$23,2,0))</f>
        <v>6.5</v>
      </c>
      <c r="U68" s="26" t="n">
        <f aca="false">AVERAGE(VLOOKUP(_xlfn.TEXTSPLIT(S68,", "),$B$4:$D$23,3,0))</f>
        <v>166.666666666667</v>
      </c>
      <c r="V68" s="28" t="str">
        <f aca="false">V67 &amp; IF(U43=2,", "&amp;R43,"")</f>
        <v>7, 8, 9, 10</v>
      </c>
      <c r="W68" s="26" t="n">
        <f aca="false">AVERAGE(VLOOKUP(_xlfn.TEXTSPLIT(V68,", "),$B$4:$D$23,2,0))</f>
        <v>9</v>
      </c>
      <c r="X68" s="26" t="n">
        <f aca="false">AVERAGE(VLOOKUP(_xlfn.TEXTSPLIT(V68,", "),$B$4:$D$23,3,0))</f>
        <v>227.5</v>
      </c>
      <c r="Z68" s="25" t="n">
        <v>10</v>
      </c>
      <c r="AA68" s="28" t="str">
        <f aca="false">AA67 &amp; IF(AC43=1,", "&amp;Z43,"")</f>
        <v>1, 2, 3, 4, 5, 6</v>
      </c>
      <c r="AB68" s="26" t="n">
        <f aca="false">AVERAGE(VLOOKUP(_xlfn.TEXTSPLIT(AA68,", "),$B$4:$D$23,2,0))</f>
        <v>6.5</v>
      </c>
      <c r="AC68" s="26" t="n">
        <f aca="false">AVERAGE(VLOOKUP(_xlfn.TEXTSPLIT(AA68,", "),$B$4:$D$23,3,0))</f>
        <v>166.666666666667</v>
      </c>
      <c r="AD68" s="28" t="str">
        <f aca="false">AD67 &amp; IF(AC43=2,", "&amp;Z43,"")</f>
        <v>7, 8, 9, 10</v>
      </c>
      <c r="AE68" s="26" t="n">
        <f aca="false">AVERAGE(VLOOKUP(_xlfn.TEXTSPLIT(AD68,", "),$B$4:$D$23,2,0))</f>
        <v>9</v>
      </c>
      <c r="AF68" s="26" t="n">
        <f aca="false">AVERAGE(VLOOKUP(_xlfn.TEXTSPLIT(AD68,", "),$B$4:$D$23,3,0))</f>
        <v>227.5</v>
      </c>
      <c r="AH68" s="25" t="n">
        <v>10</v>
      </c>
      <c r="AI68" s="28" t="str">
        <f aca="false">AI67 &amp; IF(AK43=1,", "&amp;AH43,"")</f>
        <v>1, 2, 3, 4, 5, 6, 7</v>
      </c>
      <c r="AJ68" s="26" t="n">
        <f aca="false">AVERAGE(VLOOKUP(_xlfn.TEXTSPLIT(AI68,", "),$B$4:$D$23,2,0))</f>
        <v>6.71428571428571</v>
      </c>
      <c r="AK68" s="26" t="n">
        <f aca="false">AVERAGE(VLOOKUP(_xlfn.TEXTSPLIT(AI68,", "),$B$4:$D$23,3,0))</f>
        <v>172.857142857143</v>
      </c>
      <c r="AL68" s="28" t="str">
        <f aca="false">AL67 &amp; IF(AK43=2,", "&amp;AH43,"")</f>
        <v>8, 9, 10</v>
      </c>
      <c r="AM68" s="26" t="n">
        <f aca="false">AVERAGE(VLOOKUP(_xlfn.TEXTSPLIT(AL68,", "),$B$4:$D$23,2,0))</f>
        <v>9.33333333333333</v>
      </c>
      <c r="AN68" s="26" t="n">
        <f aca="false">AVERAGE(VLOOKUP(_xlfn.TEXTSPLIT(AL68,", "),$B$4:$D$23,3,0))</f>
        <v>233.333333333333</v>
      </c>
      <c r="AP68" s="25" t="n">
        <v>10</v>
      </c>
      <c r="AQ68" s="28" t="str">
        <f aca="false">AQ67 &amp; IF(AS43=1,", "&amp;AP43,"")</f>
        <v>1, 2, 3, 4, 5, 6, 7</v>
      </c>
      <c r="AR68" s="26" t="n">
        <f aca="false">AVERAGE(VLOOKUP(_xlfn.TEXTSPLIT(AQ68,", "),$B$4:$D$23,2,0))</f>
        <v>6.71428571428571</v>
      </c>
      <c r="AS68" s="26" t="n">
        <f aca="false">AVERAGE(VLOOKUP(_xlfn.TEXTSPLIT(AQ68,", "),$B$4:$D$23,3,0))</f>
        <v>172.857142857143</v>
      </c>
      <c r="AT68" s="28" t="str">
        <f aca="false">AT67 &amp; IF(AS43=2,", "&amp;AP43,"")</f>
        <v>8, 9, 10</v>
      </c>
      <c r="AU68" s="26" t="n">
        <f aca="false">AVERAGE(VLOOKUP(_xlfn.TEXTSPLIT(AT68,", "),$B$4:$D$23,2,0))</f>
        <v>9.33333333333333</v>
      </c>
      <c r="AV68" s="26" t="n">
        <f aca="false">AVERAGE(VLOOKUP(_xlfn.TEXTSPLIT(AT68,", "),$B$4:$D$23,3,0))</f>
        <v>233.333333333333</v>
      </c>
    </row>
    <row r="69" s="24" customFormat="true" ht="18.75" hidden="false" customHeight="true" outlineLevel="0" collapsed="false">
      <c r="A69" s="22"/>
      <c r="B69" s="25" t="n">
        <v>11</v>
      </c>
      <c r="C69" s="28" t="str">
        <f aca="false">C68 &amp; IF(E44=1,", "&amp;$B44,"")</f>
        <v>1, 2</v>
      </c>
      <c r="D69" s="26" t="n">
        <f aca="false">AVERAGE(VLOOKUP(_xlfn.TEXTSPLIT(C69,", "),$B$4:$D$23,2,0))</f>
        <v>5.5</v>
      </c>
      <c r="E69" s="26" t="n">
        <f aca="false">AVERAGE(VLOOKUP(_xlfn.TEXTSPLIT(C69,", "),$B$4:$D$23,3,0))</f>
        <v>145</v>
      </c>
      <c r="F69" s="28" t="str">
        <f aca="false">F68 &amp; IF(E44=2,", "&amp;$B44,"")</f>
        <v>3, 4, 5, 6, 7, 8, 9, 10, 11</v>
      </c>
      <c r="G69" s="26" t="n">
        <f aca="false">AVERAGE(VLOOKUP(_xlfn.TEXTSPLIT(F69,", "),$B$4:$D$23,2,0))</f>
        <v>8.33333333333333</v>
      </c>
      <c r="H69" s="26" t="n">
        <f aca="false">AVERAGE(VLOOKUP(_xlfn.TEXTSPLIT(F69,", "),$B$4:$D$23,3,0))</f>
        <v>211.111111111111</v>
      </c>
      <c r="J69" s="25" t="n">
        <v>11</v>
      </c>
      <c r="K69" s="28" t="str">
        <f aca="false">K68 &amp; IF(M44=1,", "&amp;$J44,"")</f>
        <v>1, 2, 3, 4, 5</v>
      </c>
      <c r="L69" s="26" t="n">
        <f aca="false">AVERAGE(VLOOKUP(_xlfn.TEXTSPLIT(K69,", "),$B$4:$D$23,2,0))</f>
        <v>6.2</v>
      </c>
      <c r="M69" s="26" t="n">
        <f aca="false">AVERAGE(VLOOKUP(_xlfn.TEXTSPLIT(K69,", "),$B$4:$D$23,3,0))</f>
        <v>160</v>
      </c>
      <c r="N69" s="28" t="str">
        <f aca="false">N68 &amp; IF(M44=2,", "&amp;$J44,"")</f>
        <v>6, 7, 8, 9, 10, 11</v>
      </c>
      <c r="O69" s="26" t="n">
        <f aca="false">AVERAGE(VLOOKUP(_xlfn.TEXTSPLIT(N69,", "),$B$4:$D$23,2,0))</f>
        <v>9.16666666666667</v>
      </c>
      <c r="P69" s="26" t="n">
        <f aca="false">AVERAGE(VLOOKUP(_xlfn.TEXTSPLIT(N69,", "),$B$4:$D$23,3,0))</f>
        <v>231.666666666667</v>
      </c>
      <c r="R69" s="25" t="n">
        <v>11</v>
      </c>
      <c r="S69" s="28" t="str">
        <f aca="false">S68 &amp; IF(U44=1,", "&amp;R44,"")</f>
        <v>1, 2, 3, 4, 5, 6</v>
      </c>
      <c r="T69" s="26" t="n">
        <f aca="false">AVERAGE(VLOOKUP(_xlfn.TEXTSPLIT(S69,", "),$B$4:$D$23,2,0))</f>
        <v>6.5</v>
      </c>
      <c r="U69" s="26" t="n">
        <f aca="false">AVERAGE(VLOOKUP(_xlfn.TEXTSPLIT(S69,", "),$B$4:$D$23,3,0))</f>
        <v>166.666666666667</v>
      </c>
      <c r="V69" s="28" t="str">
        <f aca="false">V68 &amp; IF(U44=2,", "&amp;R44,"")</f>
        <v>7, 8, 9, 10, 11</v>
      </c>
      <c r="W69" s="26" t="n">
        <f aca="false">AVERAGE(VLOOKUP(_xlfn.TEXTSPLIT(V69,", "),$B$4:$D$23,2,0))</f>
        <v>9.4</v>
      </c>
      <c r="X69" s="26" t="n">
        <f aca="false">AVERAGE(VLOOKUP(_xlfn.TEXTSPLIT(V69,", "),$B$4:$D$23,3,0))</f>
        <v>238</v>
      </c>
      <c r="Z69" s="25" t="n">
        <v>11</v>
      </c>
      <c r="AA69" s="28" t="str">
        <f aca="false">AA68 &amp; IF(AC44=1,", "&amp;Z44,"")</f>
        <v>1, 2, 3, 4, 5, 6</v>
      </c>
      <c r="AB69" s="26" t="n">
        <f aca="false">AVERAGE(VLOOKUP(_xlfn.TEXTSPLIT(AA69,", "),$B$4:$D$23,2,0))</f>
        <v>6.5</v>
      </c>
      <c r="AC69" s="26" t="n">
        <f aca="false">AVERAGE(VLOOKUP(_xlfn.TEXTSPLIT(AA69,", "),$B$4:$D$23,3,0))</f>
        <v>166.666666666667</v>
      </c>
      <c r="AD69" s="28" t="str">
        <f aca="false">AD68 &amp; IF(AC44=2,", "&amp;Z44,"")</f>
        <v>7, 8, 9, 10, 11</v>
      </c>
      <c r="AE69" s="26" t="n">
        <f aca="false">AVERAGE(VLOOKUP(_xlfn.TEXTSPLIT(AD69,", "),$B$4:$D$23,2,0))</f>
        <v>9.4</v>
      </c>
      <c r="AF69" s="26" t="n">
        <f aca="false">AVERAGE(VLOOKUP(_xlfn.TEXTSPLIT(AD69,", "),$B$4:$D$23,3,0))</f>
        <v>238</v>
      </c>
      <c r="AH69" s="25" t="n">
        <v>11</v>
      </c>
      <c r="AI69" s="28" t="str">
        <f aca="false">AI68 &amp; IF(AK44=1,", "&amp;AH44,"")</f>
        <v>1, 2, 3, 4, 5, 6, 7</v>
      </c>
      <c r="AJ69" s="26" t="n">
        <f aca="false">AVERAGE(VLOOKUP(_xlfn.TEXTSPLIT(AI69,", "),$B$4:$D$23,2,0))</f>
        <v>6.71428571428571</v>
      </c>
      <c r="AK69" s="26" t="n">
        <f aca="false">AVERAGE(VLOOKUP(_xlfn.TEXTSPLIT(AI69,", "),$B$4:$D$23,3,0))</f>
        <v>172.857142857143</v>
      </c>
      <c r="AL69" s="28" t="str">
        <f aca="false">AL68 &amp; IF(AK44=2,", "&amp;AH44,"")</f>
        <v>8, 9, 10, 11</v>
      </c>
      <c r="AM69" s="26" t="n">
        <f aca="false">AVERAGE(VLOOKUP(_xlfn.TEXTSPLIT(AL69,", "),$B$4:$D$23,2,0))</f>
        <v>9.75</v>
      </c>
      <c r="AN69" s="26" t="n">
        <f aca="false">AVERAGE(VLOOKUP(_xlfn.TEXTSPLIT(AL69,", "),$B$4:$D$23,3,0))</f>
        <v>245</v>
      </c>
      <c r="AP69" s="25" t="n">
        <v>11</v>
      </c>
      <c r="AQ69" s="28" t="str">
        <f aca="false">AQ68 &amp; IF(AS44=1,", "&amp;AP44,"")</f>
        <v>1, 2, 3, 4, 5, 6, 7</v>
      </c>
      <c r="AR69" s="26" t="n">
        <f aca="false">AVERAGE(VLOOKUP(_xlfn.TEXTSPLIT(AQ69,", "),$B$4:$D$23,2,0))</f>
        <v>6.71428571428571</v>
      </c>
      <c r="AS69" s="26" t="n">
        <f aca="false">AVERAGE(VLOOKUP(_xlfn.TEXTSPLIT(AQ69,", "),$B$4:$D$23,3,0))</f>
        <v>172.857142857143</v>
      </c>
      <c r="AT69" s="28" t="str">
        <f aca="false">AT68 &amp; IF(AS44=2,", "&amp;AP44,"")</f>
        <v>8, 9, 10, 11</v>
      </c>
      <c r="AU69" s="26" t="n">
        <f aca="false">AVERAGE(VLOOKUP(_xlfn.TEXTSPLIT(AT69,", "),$B$4:$D$23,2,0))</f>
        <v>9.75</v>
      </c>
      <c r="AV69" s="26" t="n">
        <f aca="false">AVERAGE(VLOOKUP(_xlfn.TEXTSPLIT(AT69,", "),$B$4:$D$23,3,0))</f>
        <v>245</v>
      </c>
    </row>
    <row r="70" s="24" customFormat="true" ht="18.75" hidden="false" customHeight="true" outlineLevel="0" collapsed="false">
      <c r="A70" s="22"/>
      <c r="B70" s="25" t="n">
        <v>12</v>
      </c>
      <c r="C70" s="28" t="str">
        <f aca="false">C69 &amp; IF(E45=1,", "&amp;$B45,"")</f>
        <v>1, 2</v>
      </c>
      <c r="D70" s="26" t="n">
        <f aca="false">AVERAGE(VLOOKUP(_xlfn.TEXTSPLIT(C70,", "),$B$4:$D$23,2,0))</f>
        <v>5.5</v>
      </c>
      <c r="E70" s="26" t="n">
        <f aca="false">AVERAGE(VLOOKUP(_xlfn.TEXTSPLIT(C70,", "),$B$4:$D$23,3,0))</f>
        <v>145</v>
      </c>
      <c r="F70" s="28" t="str">
        <f aca="false">F69 &amp; IF(E45=2,", "&amp;$B45,"")</f>
        <v>3, 4, 5, 6, 7, 8, 9, 10, 11, 12</v>
      </c>
      <c r="G70" s="26" t="n">
        <f aca="false">AVERAGE(VLOOKUP(_xlfn.TEXTSPLIT(F70,", "),$B$4:$D$23,2,0))</f>
        <v>8.7</v>
      </c>
      <c r="H70" s="26" t="n">
        <f aca="false">AVERAGE(VLOOKUP(_xlfn.TEXTSPLIT(F70,", "),$B$4:$D$23,3,0))</f>
        <v>220</v>
      </c>
      <c r="J70" s="25" t="n">
        <v>12</v>
      </c>
      <c r="K70" s="28" t="str">
        <f aca="false">K69 &amp; IF(M45=1,", "&amp;$J45,"")</f>
        <v>1, 2, 3, 4, 5</v>
      </c>
      <c r="L70" s="26" t="n">
        <f aca="false">AVERAGE(VLOOKUP(_xlfn.TEXTSPLIT(K70,", "),$B$4:$D$23,2,0))</f>
        <v>6.2</v>
      </c>
      <c r="M70" s="26" t="n">
        <f aca="false">AVERAGE(VLOOKUP(_xlfn.TEXTSPLIT(K70,", "),$B$4:$D$23,3,0))</f>
        <v>160</v>
      </c>
      <c r="N70" s="28" t="str">
        <f aca="false">N69 &amp; IF(M45=2,", "&amp;$J45,"")</f>
        <v>6, 7, 8, 9, 10, 11, 12</v>
      </c>
      <c r="O70" s="26" t="n">
        <f aca="false">AVERAGE(VLOOKUP(_xlfn.TEXTSPLIT(N70,", "),$B$4:$D$23,2,0))</f>
        <v>9.57142857142857</v>
      </c>
      <c r="P70" s="26" t="n">
        <f aca="false">AVERAGE(VLOOKUP(_xlfn.TEXTSPLIT(N70,", "),$B$4:$D$23,3,0))</f>
        <v>241.428571428571</v>
      </c>
      <c r="R70" s="25" t="n">
        <v>12</v>
      </c>
      <c r="S70" s="28" t="str">
        <f aca="false">S69 &amp; IF(U45=1,", "&amp;R45,"")</f>
        <v>1, 2, 3, 4, 5, 6</v>
      </c>
      <c r="T70" s="26" t="n">
        <f aca="false">AVERAGE(VLOOKUP(_xlfn.TEXTSPLIT(S70,", "),$B$4:$D$23,2,0))</f>
        <v>6.5</v>
      </c>
      <c r="U70" s="26" t="n">
        <f aca="false">AVERAGE(VLOOKUP(_xlfn.TEXTSPLIT(S70,", "),$B$4:$D$23,3,0))</f>
        <v>166.666666666667</v>
      </c>
      <c r="V70" s="28" t="str">
        <f aca="false">V69 &amp; IF(U45=2,", "&amp;R45,"")</f>
        <v>7, 8, 9, 10, 11, 12</v>
      </c>
      <c r="W70" s="26" t="n">
        <f aca="false">AVERAGE(VLOOKUP(_xlfn.TEXTSPLIT(V70,", "),$B$4:$D$23,2,0))</f>
        <v>9.83333333333333</v>
      </c>
      <c r="X70" s="26" t="n">
        <f aca="false">AVERAGE(VLOOKUP(_xlfn.TEXTSPLIT(V70,", "),$B$4:$D$23,3,0))</f>
        <v>248.333333333333</v>
      </c>
      <c r="Z70" s="25" t="n">
        <v>12</v>
      </c>
      <c r="AA70" s="28" t="str">
        <f aca="false">AA69 &amp; IF(AC45=1,", "&amp;Z45,"")</f>
        <v>1, 2, 3, 4, 5, 6</v>
      </c>
      <c r="AB70" s="26" t="n">
        <f aca="false">AVERAGE(VLOOKUP(_xlfn.TEXTSPLIT(AA70,", "),$B$4:$D$23,2,0))</f>
        <v>6.5</v>
      </c>
      <c r="AC70" s="26" t="n">
        <f aca="false">AVERAGE(VLOOKUP(_xlfn.TEXTSPLIT(AA70,", "),$B$4:$D$23,3,0))</f>
        <v>166.666666666667</v>
      </c>
      <c r="AD70" s="28" t="str">
        <f aca="false">AD69 &amp; IF(AC45=2,", "&amp;Z45,"")</f>
        <v>7, 8, 9, 10, 11, 12</v>
      </c>
      <c r="AE70" s="26" t="n">
        <f aca="false">AVERAGE(VLOOKUP(_xlfn.TEXTSPLIT(AD70,", "),$B$4:$D$23,2,0))</f>
        <v>9.83333333333333</v>
      </c>
      <c r="AF70" s="26" t="n">
        <f aca="false">AVERAGE(VLOOKUP(_xlfn.TEXTSPLIT(AD70,", "),$B$4:$D$23,3,0))</f>
        <v>248.333333333333</v>
      </c>
      <c r="AH70" s="25" t="n">
        <v>12</v>
      </c>
      <c r="AI70" s="28" t="str">
        <f aca="false">AI69 &amp; IF(AK45=1,", "&amp;AH45,"")</f>
        <v>1, 2, 3, 4, 5, 6, 7</v>
      </c>
      <c r="AJ70" s="26" t="n">
        <f aca="false">AVERAGE(VLOOKUP(_xlfn.TEXTSPLIT(AI70,", "),$B$4:$D$23,2,0))</f>
        <v>6.71428571428571</v>
      </c>
      <c r="AK70" s="26" t="n">
        <f aca="false">AVERAGE(VLOOKUP(_xlfn.TEXTSPLIT(AI70,", "),$B$4:$D$23,3,0))</f>
        <v>172.857142857143</v>
      </c>
      <c r="AL70" s="28" t="str">
        <f aca="false">AL69 &amp; IF(AK45=2,", "&amp;AH45,"")</f>
        <v>8, 9, 10, 11, 12</v>
      </c>
      <c r="AM70" s="26" t="n">
        <f aca="false">AVERAGE(VLOOKUP(_xlfn.TEXTSPLIT(AL70,", "),$B$4:$D$23,2,0))</f>
        <v>10.2</v>
      </c>
      <c r="AN70" s="26" t="n">
        <f aca="false">AVERAGE(VLOOKUP(_xlfn.TEXTSPLIT(AL70,", "),$B$4:$D$23,3,0))</f>
        <v>256</v>
      </c>
      <c r="AP70" s="25" t="n">
        <v>12</v>
      </c>
      <c r="AQ70" s="28" t="str">
        <f aca="false">AQ69 &amp; IF(AS45=1,", "&amp;AP45,"")</f>
        <v>1, 2, 3, 4, 5, 6, 7</v>
      </c>
      <c r="AR70" s="26" t="n">
        <f aca="false">AVERAGE(VLOOKUP(_xlfn.TEXTSPLIT(AQ70,", "),$B$4:$D$23,2,0))</f>
        <v>6.71428571428571</v>
      </c>
      <c r="AS70" s="26" t="n">
        <f aca="false">AVERAGE(VLOOKUP(_xlfn.TEXTSPLIT(AQ70,", "),$B$4:$D$23,3,0))</f>
        <v>172.857142857143</v>
      </c>
      <c r="AT70" s="28" t="str">
        <f aca="false">AT69 &amp; IF(AS45=2,", "&amp;AP45,"")</f>
        <v>8, 9, 10, 11, 12</v>
      </c>
      <c r="AU70" s="26" t="n">
        <f aca="false">AVERAGE(VLOOKUP(_xlfn.TEXTSPLIT(AT70,", "),$B$4:$D$23,2,0))</f>
        <v>10.2</v>
      </c>
      <c r="AV70" s="26" t="n">
        <f aca="false">AVERAGE(VLOOKUP(_xlfn.TEXTSPLIT(AT70,", "),$B$4:$D$23,3,0))</f>
        <v>256</v>
      </c>
    </row>
    <row r="71" s="24" customFormat="true" ht="18.75" hidden="false" customHeight="true" outlineLevel="0" collapsed="false">
      <c r="A71" s="22"/>
      <c r="B71" s="25" t="n">
        <v>13</v>
      </c>
      <c r="C71" s="28" t="str">
        <f aca="false">C70 &amp; IF(E46=1,", "&amp;$B46,"")</f>
        <v>1, 2, 13</v>
      </c>
      <c r="D71" s="26" t="n">
        <f aca="false">AVERAGE(VLOOKUP(_xlfn.TEXTSPLIT(C71,", "),$B$4:$D$23,2,0))</f>
        <v>5.33333333333333</v>
      </c>
      <c r="E71" s="26" t="n">
        <f aca="false">AVERAGE(VLOOKUP(_xlfn.TEXTSPLIT(C71,", "),$B$4:$D$23,3,0))</f>
        <v>140</v>
      </c>
      <c r="F71" s="28" t="str">
        <f aca="false">F70 &amp; IF(E46=2,", "&amp;$B46,"")</f>
        <v>3, 4, 5, 6, 7, 8, 9, 10, 11, 12</v>
      </c>
      <c r="G71" s="26" t="n">
        <f aca="false">AVERAGE(VLOOKUP(_xlfn.TEXTSPLIT(F71,", "),$B$4:$D$23,2,0))</f>
        <v>8.7</v>
      </c>
      <c r="H71" s="26" t="n">
        <f aca="false">AVERAGE(VLOOKUP(_xlfn.TEXTSPLIT(F71,", "),$B$4:$D$23,3,0))</f>
        <v>220</v>
      </c>
      <c r="J71" s="25" t="n">
        <v>13</v>
      </c>
      <c r="K71" s="28" t="str">
        <f aca="false">K70 &amp; IF(M46=1,", "&amp;$J46,"")</f>
        <v>1, 2, 3, 4, 5, 13</v>
      </c>
      <c r="L71" s="26" t="n">
        <f aca="false">AVERAGE(VLOOKUP(_xlfn.TEXTSPLIT(K71,", "),$B$4:$D$23,2,0))</f>
        <v>6</v>
      </c>
      <c r="M71" s="26" t="n">
        <f aca="false">AVERAGE(VLOOKUP(_xlfn.TEXTSPLIT(K71,", "),$B$4:$D$23,3,0))</f>
        <v>155</v>
      </c>
      <c r="N71" s="28" t="str">
        <f aca="false">N70 &amp; IF(M46=2,", "&amp;$J46,"")</f>
        <v>6, 7, 8, 9, 10, 11, 12</v>
      </c>
      <c r="O71" s="26" t="n">
        <f aca="false">AVERAGE(VLOOKUP(_xlfn.TEXTSPLIT(N71,", "),$B$4:$D$23,2,0))</f>
        <v>9.57142857142857</v>
      </c>
      <c r="P71" s="26" t="n">
        <f aca="false">AVERAGE(VLOOKUP(_xlfn.TEXTSPLIT(N71,", "),$B$4:$D$23,3,0))</f>
        <v>241.428571428571</v>
      </c>
      <c r="R71" s="25" t="n">
        <v>13</v>
      </c>
      <c r="S71" s="28" t="str">
        <f aca="false">S70 &amp; IF(U46=1,", "&amp;R46,"")</f>
        <v>1, 2, 3, 4, 5, 6, 13</v>
      </c>
      <c r="T71" s="26" t="n">
        <f aca="false">AVERAGE(VLOOKUP(_xlfn.TEXTSPLIT(S71,", "),$B$4:$D$23,2,0))</f>
        <v>6.28571428571429</v>
      </c>
      <c r="U71" s="26" t="n">
        <f aca="false">AVERAGE(VLOOKUP(_xlfn.TEXTSPLIT(S71,", "),$B$4:$D$23,3,0))</f>
        <v>161.428571428571</v>
      </c>
      <c r="V71" s="28" t="str">
        <f aca="false">V70 &amp; IF(U46=2,", "&amp;R46,"")</f>
        <v>7, 8, 9, 10, 11, 12</v>
      </c>
      <c r="W71" s="26" t="n">
        <f aca="false">AVERAGE(VLOOKUP(_xlfn.TEXTSPLIT(V71,", "),$B$4:$D$23,2,0))</f>
        <v>9.83333333333333</v>
      </c>
      <c r="X71" s="26" t="n">
        <f aca="false">AVERAGE(VLOOKUP(_xlfn.TEXTSPLIT(V71,", "),$B$4:$D$23,3,0))</f>
        <v>248.333333333333</v>
      </c>
      <c r="Z71" s="25" t="n">
        <v>13</v>
      </c>
      <c r="AA71" s="28" t="str">
        <f aca="false">AA70 &amp; IF(AC46=1,", "&amp;Z46,"")</f>
        <v>1, 2, 3, 4, 5, 6, 13</v>
      </c>
      <c r="AB71" s="26" t="n">
        <f aca="false">AVERAGE(VLOOKUP(_xlfn.TEXTSPLIT(AA71,", "),$B$4:$D$23,2,0))</f>
        <v>6.28571428571429</v>
      </c>
      <c r="AC71" s="26" t="n">
        <f aca="false">AVERAGE(VLOOKUP(_xlfn.TEXTSPLIT(AA71,", "),$B$4:$D$23,3,0))</f>
        <v>161.428571428571</v>
      </c>
      <c r="AD71" s="28" t="str">
        <f aca="false">AD70 &amp; IF(AC46=2,", "&amp;Z46,"")</f>
        <v>7, 8, 9, 10, 11, 12</v>
      </c>
      <c r="AE71" s="26" t="n">
        <f aca="false">AVERAGE(VLOOKUP(_xlfn.TEXTSPLIT(AD71,", "),$B$4:$D$23,2,0))</f>
        <v>9.83333333333333</v>
      </c>
      <c r="AF71" s="26" t="n">
        <f aca="false">AVERAGE(VLOOKUP(_xlfn.TEXTSPLIT(AD71,", "),$B$4:$D$23,3,0))</f>
        <v>248.333333333333</v>
      </c>
      <c r="AH71" s="25" t="n">
        <v>13</v>
      </c>
      <c r="AI71" s="28" t="str">
        <f aca="false">AI70 &amp; IF(AK46=1,", "&amp;AH46,"")</f>
        <v>1, 2, 3, 4, 5, 6, 7, 13</v>
      </c>
      <c r="AJ71" s="26" t="n">
        <f aca="false">AVERAGE(VLOOKUP(_xlfn.TEXTSPLIT(AI71,", "),$B$4:$D$23,2,0))</f>
        <v>6.5</v>
      </c>
      <c r="AK71" s="26" t="n">
        <f aca="false">AVERAGE(VLOOKUP(_xlfn.TEXTSPLIT(AI71,", "),$B$4:$D$23,3,0))</f>
        <v>167.5</v>
      </c>
      <c r="AL71" s="28" t="str">
        <f aca="false">AL70 &amp; IF(AK46=2,", "&amp;AH46,"")</f>
        <v>8, 9, 10, 11, 12</v>
      </c>
      <c r="AM71" s="26" t="n">
        <f aca="false">AVERAGE(VLOOKUP(_xlfn.TEXTSPLIT(AL71,", "),$B$4:$D$23,2,0))</f>
        <v>10.2</v>
      </c>
      <c r="AN71" s="26" t="n">
        <f aca="false">AVERAGE(VLOOKUP(_xlfn.TEXTSPLIT(AL71,", "),$B$4:$D$23,3,0))</f>
        <v>256</v>
      </c>
      <c r="AP71" s="25" t="n">
        <v>13</v>
      </c>
      <c r="AQ71" s="28" t="str">
        <f aca="false">AQ70 &amp; IF(AS46=1,", "&amp;AP46,"")</f>
        <v>1, 2, 3, 4, 5, 6, 7, 13</v>
      </c>
      <c r="AR71" s="26" t="n">
        <f aca="false">AVERAGE(VLOOKUP(_xlfn.TEXTSPLIT(AQ71,", "),$B$4:$D$23,2,0))</f>
        <v>6.5</v>
      </c>
      <c r="AS71" s="26" t="n">
        <f aca="false">AVERAGE(VLOOKUP(_xlfn.TEXTSPLIT(AQ71,", "),$B$4:$D$23,3,0))</f>
        <v>167.5</v>
      </c>
      <c r="AT71" s="28" t="str">
        <f aca="false">AT70 &amp; IF(AS46=2,", "&amp;AP46,"")</f>
        <v>8, 9, 10, 11, 12</v>
      </c>
      <c r="AU71" s="26" t="n">
        <f aca="false">AVERAGE(VLOOKUP(_xlfn.TEXTSPLIT(AT71,", "),$B$4:$D$23,2,0))</f>
        <v>10.2</v>
      </c>
      <c r="AV71" s="26" t="n">
        <f aca="false">AVERAGE(VLOOKUP(_xlfn.TEXTSPLIT(AT71,", "),$B$4:$D$23,3,0))</f>
        <v>256</v>
      </c>
    </row>
    <row r="72" s="24" customFormat="true" ht="18.75" hidden="false" customHeight="true" outlineLevel="0" collapsed="false">
      <c r="A72" s="22"/>
      <c r="B72" s="25" t="n">
        <v>14</v>
      </c>
      <c r="C72" s="28" t="str">
        <f aca="false">C71 &amp; IF(E47=1,", "&amp;$B47,"")</f>
        <v>1, 2, 13, 14</v>
      </c>
      <c r="D72" s="26" t="n">
        <f aca="false">AVERAGE(VLOOKUP(_xlfn.TEXTSPLIT(C72,", "),$B$4:$D$23,2,0))</f>
        <v>5.5</v>
      </c>
      <c r="E72" s="26" t="n">
        <f aca="false">AVERAGE(VLOOKUP(_xlfn.TEXTSPLIT(C72,", "),$B$4:$D$23,3,0))</f>
        <v>143.75</v>
      </c>
      <c r="F72" s="28" t="str">
        <f aca="false">F71 &amp; IF(E47=2,", "&amp;$B47,"")</f>
        <v>3, 4, 5, 6, 7, 8, 9, 10, 11, 12</v>
      </c>
      <c r="G72" s="26" t="n">
        <f aca="false">AVERAGE(VLOOKUP(_xlfn.TEXTSPLIT(F72,", "),$B$4:$D$23,2,0))</f>
        <v>8.7</v>
      </c>
      <c r="H72" s="26" t="n">
        <f aca="false">AVERAGE(VLOOKUP(_xlfn.TEXTSPLIT(F72,", "),$B$4:$D$23,3,0))</f>
        <v>220</v>
      </c>
      <c r="J72" s="25" t="n">
        <v>14</v>
      </c>
      <c r="K72" s="28" t="str">
        <f aca="false">K71 &amp; IF(M47=1,", "&amp;$J47,"")</f>
        <v>1, 2, 3, 4, 5, 13, 14</v>
      </c>
      <c r="L72" s="26" t="n">
        <f aca="false">AVERAGE(VLOOKUP(_xlfn.TEXTSPLIT(K72,", "),$B$4:$D$23,2,0))</f>
        <v>6</v>
      </c>
      <c r="M72" s="26" t="n">
        <f aca="false">AVERAGE(VLOOKUP(_xlfn.TEXTSPLIT(K72,", "),$B$4:$D$23,3,0))</f>
        <v>155</v>
      </c>
      <c r="N72" s="28" t="str">
        <f aca="false">N71 &amp; IF(M47=2,", "&amp;$J47,"")</f>
        <v>6, 7, 8, 9, 10, 11, 12</v>
      </c>
      <c r="O72" s="26" t="n">
        <f aca="false">AVERAGE(VLOOKUP(_xlfn.TEXTSPLIT(N72,", "),$B$4:$D$23,2,0))</f>
        <v>9.57142857142857</v>
      </c>
      <c r="P72" s="26" t="n">
        <f aca="false">AVERAGE(VLOOKUP(_xlfn.TEXTSPLIT(N72,", "),$B$4:$D$23,3,0))</f>
        <v>241.428571428571</v>
      </c>
      <c r="R72" s="25" t="n">
        <v>14</v>
      </c>
      <c r="S72" s="28" t="str">
        <f aca="false">S71 &amp; IF(U47=1,", "&amp;R47,"")</f>
        <v>1, 2, 3, 4, 5, 6, 13, 14</v>
      </c>
      <c r="T72" s="26" t="n">
        <f aca="false">AVERAGE(VLOOKUP(_xlfn.TEXTSPLIT(S72,", "),$B$4:$D$23,2,0))</f>
        <v>6.25</v>
      </c>
      <c r="U72" s="26" t="n">
        <f aca="false">AVERAGE(VLOOKUP(_xlfn.TEXTSPLIT(S72,", "),$B$4:$D$23,3,0))</f>
        <v>160.625</v>
      </c>
      <c r="V72" s="28" t="str">
        <f aca="false">V71 &amp; IF(U47=2,", "&amp;R47,"")</f>
        <v>7, 8, 9, 10, 11, 12</v>
      </c>
      <c r="W72" s="26" t="n">
        <f aca="false">AVERAGE(VLOOKUP(_xlfn.TEXTSPLIT(V72,", "),$B$4:$D$23,2,0))</f>
        <v>9.83333333333333</v>
      </c>
      <c r="X72" s="26" t="n">
        <f aca="false">AVERAGE(VLOOKUP(_xlfn.TEXTSPLIT(V72,", "),$B$4:$D$23,3,0))</f>
        <v>248.333333333333</v>
      </c>
      <c r="Z72" s="25" t="n">
        <v>14</v>
      </c>
      <c r="AA72" s="28" t="str">
        <f aca="false">AA71 &amp; IF(AC47=1,", "&amp;Z47,"")</f>
        <v>1, 2, 3, 4, 5, 6, 13, 14</v>
      </c>
      <c r="AB72" s="26" t="n">
        <f aca="false">AVERAGE(VLOOKUP(_xlfn.TEXTSPLIT(AA72,", "),$B$4:$D$23,2,0))</f>
        <v>6.25</v>
      </c>
      <c r="AC72" s="26" t="n">
        <f aca="false">AVERAGE(VLOOKUP(_xlfn.TEXTSPLIT(AA72,", "),$B$4:$D$23,3,0))</f>
        <v>160.625</v>
      </c>
      <c r="AD72" s="28" t="str">
        <f aca="false">AD71 &amp; IF(AC47=2,", "&amp;Z47,"")</f>
        <v>7, 8, 9, 10, 11, 12</v>
      </c>
      <c r="AE72" s="26" t="n">
        <f aca="false">AVERAGE(VLOOKUP(_xlfn.TEXTSPLIT(AD72,", "),$B$4:$D$23,2,0))</f>
        <v>9.83333333333333</v>
      </c>
      <c r="AF72" s="26" t="n">
        <f aca="false">AVERAGE(VLOOKUP(_xlfn.TEXTSPLIT(AD72,", "),$B$4:$D$23,3,0))</f>
        <v>248.333333333333</v>
      </c>
      <c r="AH72" s="25" t="n">
        <v>14</v>
      </c>
      <c r="AI72" s="28" t="str">
        <f aca="false">AI71 &amp; IF(AK47=1,", "&amp;AH47,"")</f>
        <v>1, 2, 3, 4, 5, 6, 7, 13, 14</v>
      </c>
      <c r="AJ72" s="26" t="n">
        <f aca="false">AVERAGE(VLOOKUP(_xlfn.TEXTSPLIT(AI72,", "),$B$4:$D$23,2,0))</f>
        <v>6.44444444444445</v>
      </c>
      <c r="AK72" s="26" t="n">
        <f aca="false">AVERAGE(VLOOKUP(_xlfn.TEXTSPLIT(AI72,", "),$B$4:$D$23,3,0))</f>
        <v>166.111111111111</v>
      </c>
      <c r="AL72" s="28" t="str">
        <f aca="false">AL71 &amp; IF(AK47=2,", "&amp;AH47,"")</f>
        <v>8, 9, 10, 11, 12</v>
      </c>
      <c r="AM72" s="26" t="n">
        <f aca="false">AVERAGE(VLOOKUP(_xlfn.TEXTSPLIT(AL72,", "),$B$4:$D$23,2,0))</f>
        <v>10.2</v>
      </c>
      <c r="AN72" s="26" t="n">
        <f aca="false">AVERAGE(VLOOKUP(_xlfn.TEXTSPLIT(AL72,", "),$B$4:$D$23,3,0))</f>
        <v>256</v>
      </c>
      <c r="AP72" s="25" t="n">
        <v>14</v>
      </c>
      <c r="AQ72" s="28" t="str">
        <f aca="false">AQ71 &amp; IF(AS47=1,", "&amp;AP47,"")</f>
        <v>1, 2, 3, 4, 5, 6, 7, 13, 14</v>
      </c>
      <c r="AR72" s="26" t="n">
        <f aca="false">AVERAGE(VLOOKUP(_xlfn.TEXTSPLIT(AQ72,", "),$B$4:$D$23,2,0))</f>
        <v>6.44444444444445</v>
      </c>
      <c r="AS72" s="26" t="n">
        <f aca="false">AVERAGE(VLOOKUP(_xlfn.TEXTSPLIT(AQ72,", "),$B$4:$D$23,3,0))</f>
        <v>166.111111111111</v>
      </c>
      <c r="AT72" s="28" t="str">
        <f aca="false">AT71 &amp; IF(AS47=2,", "&amp;AP47,"")</f>
        <v>8, 9, 10, 11, 12</v>
      </c>
      <c r="AU72" s="26" t="n">
        <f aca="false">AVERAGE(VLOOKUP(_xlfn.TEXTSPLIT(AT72,", "),$B$4:$D$23,2,0))</f>
        <v>10.2</v>
      </c>
      <c r="AV72" s="26" t="n">
        <f aca="false">AVERAGE(VLOOKUP(_xlfn.TEXTSPLIT(AT72,", "),$B$4:$D$23,3,0))</f>
        <v>256</v>
      </c>
    </row>
    <row r="73" s="24" customFormat="true" ht="18.75" hidden="false" customHeight="true" outlineLevel="0" collapsed="false">
      <c r="A73" s="22"/>
      <c r="B73" s="25" t="n">
        <v>15</v>
      </c>
      <c r="C73" s="28" t="str">
        <f aca="false">C72 &amp; IF(E48=1,", "&amp;$B48,"")</f>
        <v>1, 2, 13, 14</v>
      </c>
      <c r="D73" s="26" t="n">
        <f aca="false">AVERAGE(VLOOKUP(_xlfn.TEXTSPLIT(C73,", "),$B$4:$D$23,2,0))</f>
        <v>5.5</v>
      </c>
      <c r="E73" s="26" t="n">
        <f aca="false">AVERAGE(VLOOKUP(_xlfn.TEXTSPLIT(C73,", "),$B$4:$D$23,3,0))</f>
        <v>143.75</v>
      </c>
      <c r="F73" s="28" t="str">
        <f aca="false">F72 &amp; IF(E48=2,", "&amp;$B48,"")</f>
        <v>3, 4, 5, 6, 7, 8, 9, 10, 11, 12, 15</v>
      </c>
      <c r="G73" s="26" t="n">
        <f aca="false">AVERAGE(VLOOKUP(_xlfn.TEXTSPLIT(F73,", "),$B$4:$D$23,2,0))</f>
        <v>8.54545454545455</v>
      </c>
      <c r="H73" s="26" t="n">
        <f aca="false">AVERAGE(VLOOKUP(_xlfn.TEXTSPLIT(F73,", "),$B$4:$D$23,3,0))</f>
        <v>215.909090909091</v>
      </c>
      <c r="J73" s="25" t="n">
        <v>15</v>
      </c>
      <c r="K73" s="28" t="str">
        <f aca="false">K72 &amp; IF(M48=1,", "&amp;$J48,"")</f>
        <v>1, 2, 3, 4, 5, 13, 14, 15</v>
      </c>
      <c r="L73" s="26" t="n">
        <f aca="false">AVERAGE(VLOOKUP(_xlfn.TEXTSPLIT(K73,", "),$B$4:$D$23,2,0))</f>
        <v>6.125</v>
      </c>
      <c r="M73" s="26" t="n">
        <f aca="false">AVERAGE(VLOOKUP(_xlfn.TEXTSPLIT(K73,", "),$B$4:$D$23,3,0))</f>
        <v>157.5</v>
      </c>
      <c r="N73" s="28" t="str">
        <f aca="false">N72 &amp; IF(M48=2,", "&amp;$J48,"")</f>
        <v>6, 7, 8, 9, 10, 11, 12</v>
      </c>
      <c r="O73" s="26" t="n">
        <f aca="false">AVERAGE(VLOOKUP(_xlfn.TEXTSPLIT(N73,", "),$B$4:$D$23,2,0))</f>
        <v>9.57142857142857</v>
      </c>
      <c r="P73" s="26" t="n">
        <f aca="false">AVERAGE(VLOOKUP(_xlfn.TEXTSPLIT(N73,", "),$B$4:$D$23,3,0))</f>
        <v>241.428571428571</v>
      </c>
      <c r="R73" s="25" t="n">
        <v>15</v>
      </c>
      <c r="S73" s="28" t="str">
        <f aca="false">S72 &amp; IF(U48=1,", "&amp;R48,"")</f>
        <v>1, 2, 3, 4, 5, 6, 13, 14, 15</v>
      </c>
      <c r="T73" s="26" t="n">
        <f aca="false">AVERAGE(VLOOKUP(_xlfn.TEXTSPLIT(S73,", "),$B$4:$D$23,2,0))</f>
        <v>6.33333333333333</v>
      </c>
      <c r="U73" s="26" t="n">
        <f aca="false">AVERAGE(VLOOKUP(_xlfn.TEXTSPLIT(S73,", "),$B$4:$D$23,3,0))</f>
        <v>162.222222222222</v>
      </c>
      <c r="V73" s="28" t="str">
        <f aca="false">V72 &amp; IF(U48=2,", "&amp;R48,"")</f>
        <v>7, 8, 9, 10, 11, 12</v>
      </c>
      <c r="W73" s="26" t="n">
        <f aca="false">AVERAGE(VLOOKUP(_xlfn.TEXTSPLIT(V73,", "),$B$4:$D$23,2,0))</f>
        <v>9.83333333333333</v>
      </c>
      <c r="X73" s="26" t="n">
        <f aca="false">AVERAGE(VLOOKUP(_xlfn.TEXTSPLIT(V73,", "),$B$4:$D$23,3,0))</f>
        <v>248.333333333333</v>
      </c>
      <c r="Z73" s="25" t="n">
        <v>15</v>
      </c>
      <c r="AA73" s="28" t="str">
        <f aca="false">AA72 &amp; IF(AC48=1,", "&amp;Z48,"")</f>
        <v>1, 2, 3, 4, 5, 6, 13, 14, 15</v>
      </c>
      <c r="AB73" s="26" t="n">
        <f aca="false">AVERAGE(VLOOKUP(_xlfn.TEXTSPLIT(AA73,", "),$B$4:$D$23,2,0))</f>
        <v>6.33333333333333</v>
      </c>
      <c r="AC73" s="26" t="n">
        <f aca="false">AVERAGE(VLOOKUP(_xlfn.TEXTSPLIT(AA73,", "),$B$4:$D$23,3,0))</f>
        <v>162.222222222222</v>
      </c>
      <c r="AD73" s="28" t="str">
        <f aca="false">AD72 &amp; IF(AC48=2,", "&amp;Z48,"")</f>
        <v>7, 8, 9, 10, 11, 12</v>
      </c>
      <c r="AE73" s="26" t="n">
        <f aca="false">AVERAGE(VLOOKUP(_xlfn.TEXTSPLIT(AD73,", "),$B$4:$D$23,2,0))</f>
        <v>9.83333333333333</v>
      </c>
      <c r="AF73" s="26" t="n">
        <f aca="false">AVERAGE(VLOOKUP(_xlfn.TEXTSPLIT(AD73,", "),$B$4:$D$23,3,0))</f>
        <v>248.333333333333</v>
      </c>
      <c r="AH73" s="25" t="n">
        <v>15</v>
      </c>
      <c r="AI73" s="28" t="str">
        <f aca="false">AI72 &amp; IF(AK48=1,", "&amp;AH48,"")</f>
        <v>1, 2, 3, 4, 5, 6, 7, 13, 14, 15</v>
      </c>
      <c r="AJ73" s="26" t="n">
        <f aca="false">AVERAGE(VLOOKUP(_xlfn.TEXTSPLIT(AI73,", "),$B$4:$D$23,2,0))</f>
        <v>6.5</v>
      </c>
      <c r="AK73" s="26" t="n">
        <f aca="false">AVERAGE(VLOOKUP(_xlfn.TEXTSPLIT(AI73,", "),$B$4:$D$23,3,0))</f>
        <v>167</v>
      </c>
      <c r="AL73" s="28" t="str">
        <f aca="false">AL72 &amp; IF(AK48=2,", "&amp;AH48,"")</f>
        <v>8, 9, 10, 11, 12</v>
      </c>
      <c r="AM73" s="26" t="n">
        <f aca="false">AVERAGE(VLOOKUP(_xlfn.TEXTSPLIT(AL73,", "),$B$4:$D$23,2,0))</f>
        <v>10.2</v>
      </c>
      <c r="AN73" s="26" t="n">
        <f aca="false">AVERAGE(VLOOKUP(_xlfn.TEXTSPLIT(AL73,", "),$B$4:$D$23,3,0))</f>
        <v>256</v>
      </c>
      <c r="AP73" s="25" t="n">
        <v>15</v>
      </c>
      <c r="AQ73" s="28" t="str">
        <f aca="false">AQ72 &amp; IF(AS48=1,", "&amp;AP48,"")</f>
        <v>1, 2, 3, 4, 5, 6, 7, 13, 14, 15</v>
      </c>
      <c r="AR73" s="26" t="n">
        <f aca="false">AVERAGE(VLOOKUP(_xlfn.TEXTSPLIT(AQ73,", "),$B$4:$D$23,2,0))</f>
        <v>6.5</v>
      </c>
      <c r="AS73" s="26" t="n">
        <f aca="false">AVERAGE(VLOOKUP(_xlfn.TEXTSPLIT(AQ73,", "),$B$4:$D$23,3,0))</f>
        <v>167</v>
      </c>
      <c r="AT73" s="28" t="str">
        <f aca="false">AT72 &amp; IF(AS48=2,", "&amp;AP48,"")</f>
        <v>8, 9, 10, 11, 12</v>
      </c>
      <c r="AU73" s="26" t="n">
        <f aca="false">AVERAGE(VLOOKUP(_xlfn.TEXTSPLIT(AT73,", "),$B$4:$D$23,2,0))</f>
        <v>10.2</v>
      </c>
      <c r="AV73" s="26" t="n">
        <f aca="false">AVERAGE(VLOOKUP(_xlfn.TEXTSPLIT(AT73,", "),$B$4:$D$23,3,0))</f>
        <v>256</v>
      </c>
    </row>
    <row r="74" s="24" customFormat="true" ht="18.75" hidden="false" customHeight="true" outlineLevel="0" collapsed="false">
      <c r="A74" s="22"/>
      <c r="B74" s="25" t="n">
        <v>16</v>
      </c>
      <c r="C74" s="28" t="str">
        <f aca="false">C73 &amp; IF(E49=1,", "&amp;$B49,"")</f>
        <v>1, 2, 13, 14</v>
      </c>
      <c r="D74" s="26" t="n">
        <f aca="false">AVERAGE(VLOOKUP(_xlfn.TEXTSPLIT(C74,", "),$B$4:$D$23,2,0))</f>
        <v>5.5</v>
      </c>
      <c r="E74" s="26" t="n">
        <f aca="false">AVERAGE(VLOOKUP(_xlfn.TEXTSPLIT(C74,", "),$B$4:$D$23,3,0))</f>
        <v>143.75</v>
      </c>
      <c r="F74" s="28" t="str">
        <f aca="false">F73 &amp; IF(E49=2,", "&amp;$B49,"")</f>
        <v>3, 4, 5, 6, 7, 8, 9, 10, 11, 12, 15, 16</v>
      </c>
      <c r="G74" s="26" t="n">
        <f aca="false">AVERAGE(VLOOKUP(_xlfn.TEXTSPLIT(F74,", "),$B$4:$D$23,2,0))</f>
        <v>8.5</v>
      </c>
      <c r="H74" s="26" t="n">
        <f aca="false">AVERAGE(VLOOKUP(_xlfn.TEXTSPLIT(F74,", "),$B$4:$D$23,3,0))</f>
        <v>215</v>
      </c>
      <c r="J74" s="25" t="n">
        <v>16</v>
      </c>
      <c r="K74" s="28" t="str">
        <f aca="false">K73 &amp; IF(M49=1,", "&amp;$J49,"")</f>
        <v>1, 2, 3, 4, 5, 13, 14, 15</v>
      </c>
      <c r="L74" s="26" t="n">
        <f aca="false">AVERAGE(VLOOKUP(_xlfn.TEXTSPLIT(K74,", "),$B$4:$D$23,2,0))</f>
        <v>6.125</v>
      </c>
      <c r="M74" s="26" t="n">
        <f aca="false">AVERAGE(VLOOKUP(_xlfn.TEXTSPLIT(K74,", "),$B$4:$D$23,3,0))</f>
        <v>157.5</v>
      </c>
      <c r="N74" s="28" t="str">
        <f aca="false">N73 &amp; IF(M49=2,", "&amp;$J49,"")</f>
        <v>6, 7, 8, 9, 10, 11, 12, 16</v>
      </c>
      <c r="O74" s="26" t="n">
        <f aca="false">AVERAGE(VLOOKUP(_xlfn.TEXTSPLIT(N74,", "),$B$4:$D$23,2,0))</f>
        <v>9.375</v>
      </c>
      <c r="P74" s="26" t="n">
        <f aca="false">AVERAGE(VLOOKUP(_xlfn.TEXTSPLIT(N74,", "),$B$4:$D$23,3,0))</f>
        <v>236.875</v>
      </c>
      <c r="R74" s="25" t="n">
        <v>16</v>
      </c>
      <c r="S74" s="28" t="str">
        <f aca="false">S73 &amp; IF(U49=1,", "&amp;R49,"")</f>
        <v>1, 2, 3, 4, 5, 6, 13, 14, 15</v>
      </c>
      <c r="T74" s="26" t="n">
        <f aca="false">AVERAGE(VLOOKUP(_xlfn.TEXTSPLIT(S74,", "),$B$4:$D$23,2,0))</f>
        <v>6.33333333333333</v>
      </c>
      <c r="U74" s="26" t="n">
        <f aca="false">AVERAGE(VLOOKUP(_xlfn.TEXTSPLIT(S74,", "),$B$4:$D$23,3,0))</f>
        <v>162.222222222222</v>
      </c>
      <c r="V74" s="28" t="str">
        <f aca="false">V73 &amp; IF(U49=2,", "&amp;R49,"")</f>
        <v>7, 8, 9, 10, 11, 12, 16</v>
      </c>
      <c r="W74" s="26" t="n">
        <f aca="false">AVERAGE(VLOOKUP(_xlfn.TEXTSPLIT(V74,", "),$B$4:$D$23,2,0))</f>
        <v>9.57142857142857</v>
      </c>
      <c r="X74" s="26" t="n">
        <f aca="false">AVERAGE(VLOOKUP(_xlfn.TEXTSPLIT(V74,", "),$B$4:$D$23,3,0))</f>
        <v>242.142857142857</v>
      </c>
      <c r="Z74" s="25" t="n">
        <v>16</v>
      </c>
      <c r="AA74" s="28" t="str">
        <f aca="false">AA73 &amp; IF(AC49=1,", "&amp;Z49,"")</f>
        <v>1, 2, 3, 4, 5, 6, 13, 14, 15, 16</v>
      </c>
      <c r="AB74" s="26" t="n">
        <f aca="false">AVERAGE(VLOOKUP(_xlfn.TEXTSPLIT(AA74,", "),$B$4:$D$23,2,0))</f>
        <v>6.5</v>
      </c>
      <c r="AC74" s="26" t="n">
        <f aca="false">AVERAGE(VLOOKUP(_xlfn.TEXTSPLIT(AA74,", "),$B$4:$D$23,3,0))</f>
        <v>166.5</v>
      </c>
      <c r="AD74" s="28" t="str">
        <f aca="false">AD73 &amp; IF(AC49=2,", "&amp;Z49,"")</f>
        <v>7, 8, 9, 10, 11, 12</v>
      </c>
      <c r="AE74" s="26" t="n">
        <f aca="false">AVERAGE(VLOOKUP(_xlfn.TEXTSPLIT(AD74,", "),$B$4:$D$23,2,0))</f>
        <v>9.83333333333333</v>
      </c>
      <c r="AF74" s="26" t="n">
        <f aca="false">AVERAGE(VLOOKUP(_xlfn.TEXTSPLIT(AD74,", "),$B$4:$D$23,3,0))</f>
        <v>248.333333333333</v>
      </c>
      <c r="AH74" s="25" t="n">
        <v>16</v>
      </c>
      <c r="AI74" s="28" t="str">
        <f aca="false">AI73 &amp; IF(AK49=1,", "&amp;AH49,"")</f>
        <v>1, 2, 3, 4, 5, 6, 7, 13, 14, 15, 16</v>
      </c>
      <c r="AJ74" s="26" t="n">
        <f aca="false">AVERAGE(VLOOKUP(_xlfn.TEXTSPLIT(AI74,", "),$B$4:$D$23,2,0))</f>
        <v>6.63636363636364</v>
      </c>
      <c r="AK74" s="26" t="n">
        <f aca="false">AVERAGE(VLOOKUP(_xlfn.TEXTSPLIT(AI74,", "),$B$4:$D$23,3,0))</f>
        <v>170.454545454545</v>
      </c>
      <c r="AL74" s="28" t="str">
        <f aca="false">AL73 &amp; IF(AK49=2,", "&amp;AH49,"")</f>
        <v>8, 9, 10, 11, 12</v>
      </c>
      <c r="AM74" s="26" t="n">
        <f aca="false">AVERAGE(VLOOKUP(_xlfn.TEXTSPLIT(AL74,", "),$B$4:$D$23,2,0))</f>
        <v>10.2</v>
      </c>
      <c r="AN74" s="26" t="n">
        <f aca="false">AVERAGE(VLOOKUP(_xlfn.TEXTSPLIT(AL74,", "),$B$4:$D$23,3,0))</f>
        <v>256</v>
      </c>
      <c r="AP74" s="25" t="n">
        <v>16</v>
      </c>
      <c r="AQ74" s="28" t="str">
        <f aca="false">AQ73 &amp; IF(AS49=1,", "&amp;AP49,"")</f>
        <v>1, 2, 3, 4, 5, 6, 7, 13, 14, 15, 16</v>
      </c>
      <c r="AR74" s="26" t="n">
        <f aca="false">AVERAGE(VLOOKUP(_xlfn.TEXTSPLIT(AQ74,", "),$B$4:$D$23,2,0))</f>
        <v>6.63636363636364</v>
      </c>
      <c r="AS74" s="26" t="n">
        <f aca="false">AVERAGE(VLOOKUP(_xlfn.TEXTSPLIT(AQ74,", "),$B$4:$D$23,3,0))</f>
        <v>170.454545454545</v>
      </c>
      <c r="AT74" s="28" t="str">
        <f aca="false">AT73 &amp; IF(AS49=2,", "&amp;AP49,"")</f>
        <v>8, 9, 10, 11, 12</v>
      </c>
      <c r="AU74" s="26" t="n">
        <f aca="false">AVERAGE(VLOOKUP(_xlfn.TEXTSPLIT(AT74,", "),$B$4:$D$23,2,0))</f>
        <v>10.2</v>
      </c>
      <c r="AV74" s="26" t="n">
        <f aca="false">AVERAGE(VLOOKUP(_xlfn.TEXTSPLIT(AT74,", "),$B$4:$D$23,3,0))</f>
        <v>256</v>
      </c>
    </row>
    <row r="75" s="24" customFormat="true" ht="18.75" hidden="false" customHeight="true" outlineLevel="0" collapsed="false">
      <c r="A75" s="22"/>
      <c r="B75" s="25" t="n">
        <v>17</v>
      </c>
      <c r="C75" s="28" t="str">
        <f aca="false">C74 &amp; IF(E50=1,", "&amp;$B50,"")</f>
        <v>1, 2, 13, 14</v>
      </c>
      <c r="D75" s="26" t="n">
        <f aca="false">AVERAGE(VLOOKUP(_xlfn.TEXTSPLIT(C75,", "),$B$4:$D$23,2,0))</f>
        <v>5.5</v>
      </c>
      <c r="E75" s="26" t="n">
        <f aca="false">AVERAGE(VLOOKUP(_xlfn.TEXTSPLIT(C75,", "),$B$4:$D$23,3,0))</f>
        <v>143.75</v>
      </c>
      <c r="F75" s="28" t="str">
        <f aca="false">F74 &amp; IF(E50=2,", "&amp;$B50,"")</f>
        <v>3, 4, 5, 6, 7, 8, 9, 10, 11, 12, 15, 16, 17</v>
      </c>
      <c r="G75" s="26" t="n">
        <f aca="false">AVERAGE(VLOOKUP(_xlfn.TEXTSPLIT(F75,", "),$B$4:$D$23,2,0))</f>
        <v>8.53846153846154</v>
      </c>
      <c r="H75" s="26" t="n">
        <f aca="false">AVERAGE(VLOOKUP(_xlfn.TEXTSPLIT(F75,", "),$B$4:$D$23,3,0))</f>
        <v>216.923076923077</v>
      </c>
      <c r="J75" s="25" t="n">
        <v>17</v>
      </c>
      <c r="K75" s="28" t="str">
        <f aca="false">K74 &amp; IF(M50=1,", "&amp;$J50,"")</f>
        <v>1, 2, 3, 4, 5, 13, 14, 15</v>
      </c>
      <c r="L75" s="26" t="n">
        <f aca="false">AVERAGE(VLOOKUP(_xlfn.TEXTSPLIT(K75,", "),$B$4:$D$23,2,0))</f>
        <v>6.125</v>
      </c>
      <c r="M75" s="26" t="n">
        <f aca="false">AVERAGE(VLOOKUP(_xlfn.TEXTSPLIT(K75,", "),$B$4:$D$23,3,0))</f>
        <v>157.5</v>
      </c>
      <c r="N75" s="28" t="str">
        <f aca="false">N74 &amp; IF(M50=2,", "&amp;$J50,"")</f>
        <v>6, 7, 8, 9, 10, 11, 12, 16, 17</v>
      </c>
      <c r="O75" s="26" t="n">
        <f aca="false">AVERAGE(VLOOKUP(_xlfn.TEXTSPLIT(N75,", "),$B$4:$D$23,2,0))</f>
        <v>9.33333333333333</v>
      </c>
      <c r="P75" s="26" t="n">
        <f aca="false">AVERAGE(VLOOKUP(_xlfn.TEXTSPLIT(N75,", "),$B$4:$D$23,3,0))</f>
        <v>237.222222222222</v>
      </c>
      <c r="R75" s="25" t="n">
        <v>17</v>
      </c>
      <c r="S75" s="28" t="str">
        <f aca="false">S74 &amp; IF(U50=1,", "&amp;R50,"")</f>
        <v>1, 2, 3, 4, 5, 6, 13, 14, 15</v>
      </c>
      <c r="T75" s="26" t="n">
        <f aca="false">AVERAGE(VLOOKUP(_xlfn.TEXTSPLIT(S75,", "),$B$4:$D$23,2,0))</f>
        <v>6.33333333333333</v>
      </c>
      <c r="U75" s="26" t="n">
        <f aca="false">AVERAGE(VLOOKUP(_xlfn.TEXTSPLIT(S75,", "),$B$4:$D$23,3,0))</f>
        <v>162.222222222222</v>
      </c>
      <c r="V75" s="28" t="str">
        <f aca="false">V74 &amp; IF(U50=2,", "&amp;R50,"")</f>
        <v>7, 8, 9, 10, 11, 12, 16, 17</v>
      </c>
      <c r="W75" s="26" t="n">
        <f aca="false">AVERAGE(VLOOKUP(_xlfn.TEXTSPLIT(V75,", "),$B$4:$D$23,2,0))</f>
        <v>9.5</v>
      </c>
      <c r="X75" s="26" t="n">
        <f aca="false">AVERAGE(VLOOKUP(_xlfn.TEXTSPLIT(V75,", "),$B$4:$D$23,3,0))</f>
        <v>241.875</v>
      </c>
      <c r="Z75" s="25" t="n">
        <v>17</v>
      </c>
      <c r="AA75" s="28" t="str">
        <f aca="false">AA74 &amp; IF(AC50=1,", "&amp;Z50,"")</f>
        <v>1, 2, 3, 4, 5, 6, 13, 14, 15, 16</v>
      </c>
      <c r="AB75" s="26" t="n">
        <f aca="false">AVERAGE(VLOOKUP(_xlfn.TEXTSPLIT(AA75,", "),$B$4:$D$23,2,0))</f>
        <v>6.5</v>
      </c>
      <c r="AC75" s="26" t="n">
        <f aca="false">AVERAGE(VLOOKUP(_xlfn.TEXTSPLIT(AA75,", "),$B$4:$D$23,3,0))</f>
        <v>166.5</v>
      </c>
      <c r="AD75" s="28" t="str">
        <f aca="false">AD74 &amp; IF(AC50=2,", "&amp;Z50,"")</f>
        <v>7, 8, 9, 10, 11, 12, 17</v>
      </c>
      <c r="AE75" s="26" t="n">
        <f aca="false">AVERAGE(VLOOKUP(_xlfn.TEXTSPLIT(AD75,", "),$B$4:$D$23,2,0))</f>
        <v>9.71428571428571</v>
      </c>
      <c r="AF75" s="26" t="n">
        <f aca="false">AVERAGE(VLOOKUP(_xlfn.TEXTSPLIT(AD75,", "),$B$4:$D$23,3,0))</f>
        <v>247.142857142857</v>
      </c>
      <c r="AH75" s="25" t="n">
        <v>17</v>
      </c>
      <c r="AI75" s="28" t="str">
        <f aca="false">AI74 &amp; IF(AK50=1,", "&amp;AH50,"")</f>
        <v>1, 2, 3, 4, 5, 6, 7, 13, 14, 15, 16</v>
      </c>
      <c r="AJ75" s="26" t="n">
        <f aca="false">AVERAGE(VLOOKUP(_xlfn.TEXTSPLIT(AI75,", "),$B$4:$D$23,2,0))</f>
        <v>6.63636363636364</v>
      </c>
      <c r="AK75" s="26" t="n">
        <f aca="false">AVERAGE(VLOOKUP(_xlfn.TEXTSPLIT(AI75,", "),$B$4:$D$23,3,0))</f>
        <v>170.454545454545</v>
      </c>
      <c r="AL75" s="28" t="str">
        <f aca="false">AL74 &amp; IF(AK50=2,", "&amp;AH50,"")</f>
        <v>8, 9, 10, 11, 12, 17</v>
      </c>
      <c r="AM75" s="26" t="n">
        <f aca="false">AVERAGE(VLOOKUP(_xlfn.TEXTSPLIT(AL75,", "),$B$4:$D$23,2,0))</f>
        <v>10</v>
      </c>
      <c r="AN75" s="26" t="n">
        <f aca="false">AVERAGE(VLOOKUP(_xlfn.TEXTSPLIT(AL75,", "),$B$4:$D$23,3,0))</f>
        <v>253.333333333333</v>
      </c>
      <c r="AP75" s="25" t="n">
        <v>17</v>
      </c>
      <c r="AQ75" s="28" t="str">
        <f aca="false">AQ74 &amp; IF(AS50=1,", "&amp;AP50,"")</f>
        <v>1, 2, 3, 4, 5, 6, 7, 13, 14, 15, 16</v>
      </c>
      <c r="AR75" s="26" t="n">
        <f aca="false">AVERAGE(VLOOKUP(_xlfn.TEXTSPLIT(AQ75,", "),$B$4:$D$23,2,0))</f>
        <v>6.63636363636364</v>
      </c>
      <c r="AS75" s="26" t="n">
        <f aca="false">AVERAGE(VLOOKUP(_xlfn.TEXTSPLIT(AQ75,", "),$B$4:$D$23,3,0))</f>
        <v>170.454545454545</v>
      </c>
      <c r="AT75" s="28" t="str">
        <f aca="false">AT74 &amp; IF(AS50=2,", "&amp;AP50,"")</f>
        <v>8, 9, 10, 11, 12, 17</v>
      </c>
      <c r="AU75" s="26" t="n">
        <f aca="false">AVERAGE(VLOOKUP(_xlfn.TEXTSPLIT(AT75,", "),$B$4:$D$23,2,0))</f>
        <v>10</v>
      </c>
      <c r="AV75" s="26" t="n">
        <f aca="false">AVERAGE(VLOOKUP(_xlfn.TEXTSPLIT(AT75,", "),$B$4:$D$23,3,0))</f>
        <v>253.333333333333</v>
      </c>
    </row>
    <row r="76" s="24" customFormat="true" ht="18.75" hidden="false" customHeight="true" outlineLevel="0" collapsed="false">
      <c r="A76" s="22"/>
      <c r="B76" s="25" t="n">
        <v>18</v>
      </c>
      <c r="C76" s="28" t="str">
        <f aca="false">C75 &amp; IF(E51=1,", "&amp;$B51,"")</f>
        <v>1, 2, 13, 14</v>
      </c>
      <c r="D76" s="26" t="n">
        <f aca="false">AVERAGE(VLOOKUP(_xlfn.TEXTSPLIT(C76,", "),$B$4:$D$23,2,0))</f>
        <v>5.5</v>
      </c>
      <c r="E76" s="26" t="n">
        <f aca="false">AVERAGE(VLOOKUP(_xlfn.TEXTSPLIT(C76,", "),$B$4:$D$23,3,0))</f>
        <v>143.75</v>
      </c>
      <c r="F76" s="28" t="str">
        <f aca="false">F75 &amp; IF(E51=2,", "&amp;$B51,"")</f>
        <v>3, 4, 5, 6, 7, 8, 9, 10, 11, 12, 15, 16, 17, 18</v>
      </c>
      <c r="G76" s="26" t="n">
        <f aca="false">AVERAGE(VLOOKUP(_xlfn.TEXTSPLIT(F76,", "),$B$4:$D$23,2,0))</f>
        <v>8.64285714285714</v>
      </c>
      <c r="H76" s="26" t="n">
        <f aca="false">AVERAGE(VLOOKUP(_xlfn.TEXTSPLIT(F76,", "),$B$4:$D$23,3,0))</f>
        <v>220</v>
      </c>
      <c r="J76" s="25" t="n">
        <v>18</v>
      </c>
      <c r="K76" s="28" t="str">
        <f aca="false">K75 &amp; IF(M51=1,", "&amp;$J51,"")</f>
        <v>1, 2, 3, 4, 5, 13, 14, 15</v>
      </c>
      <c r="L76" s="26" t="n">
        <f aca="false">AVERAGE(VLOOKUP(_xlfn.TEXTSPLIT(K76,", "),$B$4:$D$23,2,0))</f>
        <v>6.125</v>
      </c>
      <c r="M76" s="26" t="n">
        <f aca="false">AVERAGE(VLOOKUP(_xlfn.TEXTSPLIT(K76,", "),$B$4:$D$23,3,0))</f>
        <v>157.5</v>
      </c>
      <c r="N76" s="28" t="str">
        <f aca="false">N75 &amp; IF(M51=2,", "&amp;$J51,"")</f>
        <v>6, 7, 8, 9, 10, 11, 12, 16, 17, 18</v>
      </c>
      <c r="O76" s="26" t="n">
        <f aca="false">AVERAGE(VLOOKUP(_xlfn.TEXTSPLIT(N76,", "),$B$4:$D$23,2,0))</f>
        <v>9.4</v>
      </c>
      <c r="P76" s="26" t="n">
        <f aca="false">AVERAGE(VLOOKUP(_xlfn.TEXTSPLIT(N76,", "),$B$4:$D$23,3,0))</f>
        <v>239.5</v>
      </c>
      <c r="R76" s="25" t="n">
        <v>18</v>
      </c>
      <c r="S76" s="28" t="str">
        <f aca="false">S75 &amp; IF(U51=1,", "&amp;R51,"")</f>
        <v>1, 2, 3, 4, 5, 6, 13, 14, 15</v>
      </c>
      <c r="T76" s="26" t="n">
        <f aca="false">AVERAGE(VLOOKUP(_xlfn.TEXTSPLIT(S76,", "),$B$4:$D$23,2,0))</f>
        <v>6.33333333333333</v>
      </c>
      <c r="U76" s="26" t="n">
        <f aca="false">AVERAGE(VLOOKUP(_xlfn.TEXTSPLIT(S76,", "),$B$4:$D$23,3,0))</f>
        <v>162.222222222222</v>
      </c>
      <c r="V76" s="28" t="str">
        <f aca="false">V75 &amp; IF(U51=2,", "&amp;R51,"")</f>
        <v>7, 8, 9, 10, 11, 12, 16, 17, 18</v>
      </c>
      <c r="W76" s="26" t="n">
        <f aca="false">AVERAGE(VLOOKUP(_xlfn.TEXTSPLIT(V76,", "),$B$4:$D$23,2,0))</f>
        <v>9.55555555555556</v>
      </c>
      <c r="X76" s="26" t="n">
        <f aca="false">AVERAGE(VLOOKUP(_xlfn.TEXTSPLIT(V76,", "),$B$4:$D$23,3,0))</f>
        <v>243.888888888889</v>
      </c>
      <c r="Z76" s="25" t="n">
        <v>18</v>
      </c>
      <c r="AA76" s="28" t="str">
        <f aca="false">AA75 &amp; IF(AC51=1,", "&amp;Z51,"")</f>
        <v>1, 2, 3, 4, 5, 6, 13, 14, 15, 16</v>
      </c>
      <c r="AB76" s="26" t="n">
        <f aca="false">AVERAGE(VLOOKUP(_xlfn.TEXTSPLIT(AA76,", "),$B$4:$D$23,2,0))</f>
        <v>6.5</v>
      </c>
      <c r="AC76" s="26" t="n">
        <f aca="false">AVERAGE(VLOOKUP(_xlfn.TEXTSPLIT(AA76,", "),$B$4:$D$23,3,0))</f>
        <v>166.5</v>
      </c>
      <c r="AD76" s="28" t="str">
        <f aca="false">AD75 &amp; IF(AC51=2,", "&amp;Z51,"")</f>
        <v>7, 8, 9, 10, 11, 12, 17, 18</v>
      </c>
      <c r="AE76" s="26" t="n">
        <f aca="false">AVERAGE(VLOOKUP(_xlfn.TEXTSPLIT(AD76,", "),$B$4:$D$23,2,0))</f>
        <v>9.75</v>
      </c>
      <c r="AF76" s="26" t="n">
        <f aca="false">AVERAGE(VLOOKUP(_xlfn.TEXTSPLIT(AD76,", "),$B$4:$D$23,3,0))</f>
        <v>248.75</v>
      </c>
      <c r="AH76" s="25" t="n">
        <v>18</v>
      </c>
      <c r="AI76" s="28" t="str">
        <f aca="false">AI75 &amp; IF(AK51=1,", "&amp;AH51,"")</f>
        <v>1, 2, 3, 4, 5, 6, 7, 13, 14, 15, 16</v>
      </c>
      <c r="AJ76" s="26" t="n">
        <f aca="false">AVERAGE(VLOOKUP(_xlfn.TEXTSPLIT(AI76,", "),$B$4:$D$23,2,0))</f>
        <v>6.63636363636364</v>
      </c>
      <c r="AK76" s="26" t="n">
        <f aca="false">AVERAGE(VLOOKUP(_xlfn.TEXTSPLIT(AI76,", "),$B$4:$D$23,3,0))</f>
        <v>170.454545454545</v>
      </c>
      <c r="AL76" s="28" t="str">
        <f aca="false">AL75 &amp; IF(AK51=2,", "&amp;AH51,"")</f>
        <v>8, 9, 10, 11, 12, 17, 18</v>
      </c>
      <c r="AM76" s="26" t="n">
        <f aca="false">AVERAGE(VLOOKUP(_xlfn.TEXTSPLIT(AL76,", "),$B$4:$D$23,2,0))</f>
        <v>10</v>
      </c>
      <c r="AN76" s="26" t="n">
        <f aca="false">AVERAGE(VLOOKUP(_xlfn.TEXTSPLIT(AL76,", "),$B$4:$D$23,3,0))</f>
        <v>254.285714285714</v>
      </c>
      <c r="AP76" s="25" t="n">
        <v>18</v>
      </c>
      <c r="AQ76" s="28" t="str">
        <f aca="false">AQ75 &amp; IF(AS51=1,", "&amp;AP51,"")</f>
        <v>1, 2, 3, 4, 5, 6, 7, 13, 14, 15, 16</v>
      </c>
      <c r="AR76" s="26" t="n">
        <f aca="false">AVERAGE(VLOOKUP(_xlfn.TEXTSPLIT(AQ76,", "),$B$4:$D$23,2,0))</f>
        <v>6.63636363636364</v>
      </c>
      <c r="AS76" s="26" t="n">
        <f aca="false">AVERAGE(VLOOKUP(_xlfn.TEXTSPLIT(AQ76,", "),$B$4:$D$23,3,0))</f>
        <v>170.454545454545</v>
      </c>
      <c r="AT76" s="28" t="str">
        <f aca="false">AT75 &amp; IF(AS51=2,", "&amp;AP51,"")</f>
        <v>8, 9, 10, 11, 12, 17, 18</v>
      </c>
      <c r="AU76" s="26" t="n">
        <f aca="false">AVERAGE(VLOOKUP(_xlfn.TEXTSPLIT(AT76,", "),$B$4:$D$23,2,0))</f>
        <v>10</v>
      </c>
      <c r="AV76" s="26" t="n">
        <f aca="false">AVERAGE(VLOOKUP(_xlfn.TEXTSPLIT(AT76,", "),$B$4:$D$23,3,0))</f>
        <v>254.285714285714</v>
      </c>
    </row>
    <row r="77" s="24" customFormat="true" ht="18.75" hidden="false" customHeight="true" outlineLevel="0" collapsed="false">
      <c r="A77" s="22"/>
      <c r="B77" s="25" t="n">
        <v>19</v>
      </c>
      <c r="C77" s="28" t="str">
        <f aca="false">C76 &amp; IF(E52=1,", "&amp;$B52,"")</f>
        <v>1, 2, 13, 14</v>
      </c>
      <c r="D77" s="26" t="n">
        <f aca="false">AVERAGE(VLOOKUP(_xlfn.TEXTSPLIT(C77,", "),$B$4:$D$23,2,0))</f>
        <v>5.5</v>
      </c>
      <c r="E77" s="26" t="n">
        <f aca="false">AVERAGE(VLOOKUP(_xlfn.TEXTSPLIT(C77,", "),$B$4:$D$23,3,0))</f>
        <v>143.75</v>
      </c>
      <c r="F77" s="28" t="str">
        <f aca="false">F76 &amp; IF(E52=2,", "&amp;$B52,"")</f>
        <v>3, 4, 5, 6, 7, 8, 9, 10, 11, 12, 15, 16, 17, 18, 19</v>
      </c>
      <c r="G77" s="26" t="n">
        <f aca="false">AVERAGE(VLOOKUP(_xlfn.TEXTSPLIT(F77,", "),$B$4:$D$23,2,0))</f>
        <v>8.8</v>
      </c>
      <c r="H77" s="26" t="n">
        <f aca="false">AVERAGE(VLOOKUP(_xlfn.TEXTSPLIT(F77,", "),$B$4:$D$23,3,0))</f>
        <v>224.666666666667</v>
      </c>
      <c r="J77" s="25" t="n">
        <v>19</v>
      </c>
      <c r="K77" s="28" t="str">
        <f aca="false">K76 &amp; IF(M52=1,", "&amp;$J52,"")</f>
        <v>1, 2, 3, 4, 5, 13, 14, 15</v>
      </c>
      <c r="L77" s="26" t="n">
        <f aca="false">AVERAGE(VLOOKUP(_xlfn.TEXTSPLIT(K77,", "),$B$4:$D$23,2,0))</f>
        <v>6.125</v>
      </c>
      <c r="M77" s="26" t="n">
        <f aca="false">AVERAGE(VLOOKUP(_xlfn.TEXTSPLIT(K77,", "),$B$4:$D$23,3,0))</f>
        <v>157.5</v>
      </c>
      <c r="N77" s="28" t="str">
        <f aca="false">N76 &amp; IF(M52=2,", "&amp;$J52,"")</f>
        <v>6, 7, 8, 9, 10, 11, 12, 16, 17, 18, 19</v>
      </c>
      <c r="O77" s="26" t="n">
        <f aca="false">AVERAGE(VLOOKUP(_xlfn.TEXTSPLIT(N77,", "),$B$4:$D$23,2,0))</f>
        <v>9.54545454545455</v>
      </c>
      <c r="P77" s="26" t="n">
        <f aca="false">AVERAGE(VLOOKUP(_xlfn.TEXTSPLIT(N77,", "),$B$4:$D$23,3,0))</f>
        <v>244.090909090909</v>
      </c>
      <c r="R77" s="25" t="n">
        <v>19</v>
      </c>
      <c r="S77" s="28" t="str">
        <f aca="false">S76 &amp; IF(U52=1,", "&amp;R52,"")</f>
        <v>1, 2, 3, 4, 5, 6, 13, 14, 15</v>
      </c>
      <c r="T77" s="26" t="n">
        <f aca="false">AVERAGE(VLOOKUP(_xlfn.TEXTSPLIT(S77,", "),$B$4:$D$23,2,0))</f>
        <v>6.33333333333333</v>
      </c>
      <c r="U77" s="26" t="n">
        <f aca="false">AVERAGE(VLOOKUP(_xlfn.TEXTSPLIT(S77,", "),$B$4:$D$23,3,0))</f>
        <v>162.222222222222</v>
      </c>
      <c r="V77" s="28" t="str">
        <f aca="false">V76 &amp; IF(U52=2,", "&amp;R52,"")</f>
        <v>7, 8, 9, 10, 11, 12, 16, 17, 18, 19</v>
      </c>
      <c r="W77" s="26" t="n">
        <f aca="false">AVERAGE(VLOOKUP(_xlfn.TEXTSPLIT(V77,", "),$B$4:$D$23,2,0))</f>
        <v>9.7</v>
      </c>
      <c r="X77" s="26" t="n">
        <f aca="false">AVERAGE(VLOOKUP(_xlfn.TEXTSPLIT(V77,", "),$B$4:$D$23,3,0))</f>
        <v>248.5</v>
      </c>
      <c r="Z77" s="25" t="n">
        <v>19</v>
      </c>
      <c r="AA77" s="28" t="str">
        <f aca="false">AA76 &amp; IF(AC52=1,", "&amp;Z52,"")</f>
        <v>1, 2, 3, 4, 5, 6, 13, 14, 15, 16</v>
      </c>
      <c r="AB77" s="26" t="n">
        <f aca="false">AVERAGE(VLOOKUP(_xlfn.TEXTSPLIT(AA77,", "),$B$4:$D$23,2,0))</f>
        <v>6.5</v>
      </c>
      <c r="AC77" s="26" t="n">
        <f aca="false">AVERAGE(VLOOKUP(_xlfn.TEXTSPLIT(AA77,", "),$B$4:$D$23,3,0))</f>
        <v>166.5</v>
      </c>
      <c r="AD77" s="28" t="str">
        <f aca="false">AD76 &amp; IF(AC52=2,", "&amp;Z52,"")</f>
        <v>7, 8, 9, 10, 11, 12, 17, 18, 19</v>
      </c>
      <c r="AE77" s="26" t="n">
        <f aca="false">AVERAGE(VLOOKUP(_xlfn.TEXTSPLIT(AD77,", "),$B$4:$D$23,2,0))</f>
        <v>9.88888888888889</v>
      </c>
      <c r="AF77" s="26" t="n">
        <f aca="false">AVERAGE(VLOOKUP(_xlfn.TEXTSPLIT(AD77,", "),$B$4:$D$23,3,0))</f>
        <v>253.333333333333</v>
      </c>
      <c r="AH77" s="25" t="n">
        <v>19</v>
      </c>
      <c r="AI77" s="28" t="str">
        <f aca="false">AI76 &amp; IF(AK52=1,", "&amp;AH52,"")</f>
        <v>1, 2, 3, 4, 5, 6, 7, 13, 14, 15, 16</v>
      </c>
      <c r="AJ77" s="26" t="n">
        <f aca="false">AVERAGE(VLOOKUP(_xlfn.TEXTSPLIT(AI77,", "),$B$4:$D$23,2,0))</f>
        <v>6.63636363636364</v>
      </c>
      <c r="AK77" s="26" t="n">
        <f aca="false">AVERAGE(VLOOKUP(_xlfn.TEXTSPLIT(AI77,", "),$B$4:$D$23,3,0))</f>
        <v>170.454545454545</v>
      </c>
      <c r="AL77" s="28" t="str">
        <f aca="false">AL76 &amp; IF(AK52=2,", "&amp;AH52,"")</f>
        <v>8, 9, 10, 11, 12, 17, 18, 19</v>
      </c>
      <c r="AM77" s="26" t="n">
        <f aca="false">AVERAGE(VLOOKUP(_xlfn.TEXTSPLIT(AL77,", "),$B$4:$D$23,2,0))</f>
        <v>10.125</v>
      </c>
      <c r="AN77" s="26" t="n">
        <f aca="false">AVERAGE(VLOOKUP(_xlfn.TEXTSPLIT(AL77,", "),$B$4:$D$23,3,0))</f>
        <v>258.75</v>
      </c>
      <c r="AP77" s="25" t="n">
        <v>19</v>
      </c>
      <c r="AQ77" s="28" t="str">
        <f aca="false">AQ76 &amp; IF(AS52=1,", "&amp;AP52,"")</f>
        <v>1, 2, 3, 4, 5, 6, 7, 13, 14, 15, 16</v>
      </c>
      <c r="AR77" s="26" t="n">
        <f aca="false">AVERAGE(VLOOKUP(_xlfn.TEXTSPLIT(AQ77,", "),$B$4:$D$23,2,0))</f>
        <v>6.63636363636364</v>
      </c>
      <c r="AS77" s="26" t="n">
        <f aca="false">AVERAGE(VLOOKUP(_xlfn.TEXTSPLIT(AQ77,", "),$B$4:$D$23,3,0))</f>
        <v>170.454545454545</v>
      </c>
      <c r="AT77" s="28" t="str">
        <f aca="false">AT76 &amp; IF(AS52=2,", "&amp;AP52,"")</f>
        <v>8, 9, 10, 11, 12, 17, 18, 19</v>
      </c>
      <c r="AU77" s="26" t="n">
        <f aca="false">AVERAGE(VLOOKUP(_xlfn.TEXTSPLIT(AT77,", "),$B$4:$D$23,2,0))</f>
        <v>10.125</v>
      </c>
      <c r="AV77" s="26" t="n">
        <f aca="false">AVERAGE(VLOOKUP(_xlfn.TEXTSPLIT(AT77,", "),$B$4:$D$23,3,0))</f>
        <v>258.75</v>
      </c>
    </row>
    <row r="78" s="24" customFormat="true" ht="18.75" hidden="false" customHeight="true" outlineLevel="0" collapsed="false">
      <c r="A78" s="22"/>
      <c r="B78" s="25" t="n">
        <v>20</v>
      </c>
      <c r="C78" s="28" t="str">
        <f aca="false">C77 &amp; IF(E53=1,", "&amp;$B53,"")</f>
        <v>1, 2, 13, 14</v>
      </c>
      <c r="D78" s="26" t="n">
        <f aca="false">AVERAGE(VLOOKUP(_xlfn.TEXTSPLIT(C78,", "),$B$4:$D$23,2,0))</f>
        <v>5.5</v>
      </c>
      <c r="E78" s="26" t="n">
        <f aca="false">AVERAGE(VLOOKUP(_xlfn.TEXTSPLIT(C78,", "),$B$4:$D$23,3,0))</f>
        <v>143.75</v>
      </c>
      <c r="F78" s="28" t="str">
        <f aca="false">F77 &amp; IF(E53=2,", "&amp;$B53,"")</f>
        <v>3, 4, 5, 6, 7, 8, 9, 10, 11, 12, 15, 16, 17, 18, 19, 20</v>
      </c>
      <c r="G78" s="26" t="n">
        <f aca="false">AVERAGE(VLOOKUP(_xlfn.TEXTSPLIT(F78,", "),$B$4:$D$23,2,0))</f>
        <v>9</v>
      </c>
      <c r="H78" s="26" t="n">
        <f aca="false">AVERAGE(VLOOKUP(_xlfn.TEXTSPLIT(F78,", "),$B$4:$D$23,3,0))</f>
        <v>230</v>
      </c>
      <c r="J78" s="25" t="n">
        <v>20</v>
      </c>
      <c r="K78" s="28" t="str">
        <f aca="false">K77 &amp; IF(M53=1,", "&amp;$J53,"")</f>
        <v>1, 2, 3, 4, 5, 13, 14, 15</v>
      </c>
      <c r="L78" s="26" t="n">
        <f aca="false">AVERAGE(VLOOKUP(_xlfn.TEXTSPLIT(K78,", "),$B$4:$D$23,2,0))</f>
        <v>6.125</v>
      </c>
      <c r="M78" s="26" t="n">
        <f aca="false">AVERAGE(VLOOKUP(_xlfn.TEXTSPLIT(K78,", "),$B$4:$D$23,3,0))</f>
        <v>157.5</v>
      </c>
      <c r="N78" s="28" t="str">
        <f aca="false">N77 &amp; IF(M53=2,", "&amp;$J53,"")</f>
        <v>6, 7, 8, 9, 10, 11, 12, 16, 17, 18, 19, 20</v>
      </c>
      <c r="O78" s="26" t="n">
        <f aca="false">AVERAGE(VLOOKUP(_xlfn.TEXTSPLIT(N78,", "),$B$4:$D$23,2,0))</f>
        <v>9.75</v>
      </c>
      <c r="P78" s="26" t="n">
        <f aca="false">AVERAGE(VLOOKUP(_xlfn.TEXTSPLIT(N78,", "),$B$4:$D$23,3,0))</f>
        <v>249.583333333333</v>
      </c>
      <c r="R78" s="25" t="n">
        <v>20</v>
      </c>
      <c r="S78" s="28" t="str">
        <f aca="false">S77 &amp; IF(U53=1,", "&amp;R53,"")</f>
        <v>1, 2, 3, 4, 5, 6, 13, 14, 15</v>
      </c>
      <c r="T78" s="26" t="n">
        <f aca="false">AVERAGE(VLOOKUP(_xlfn.TEXTSPLIT(S78,", "),$B$4:$D$23,2,0))</f>
        <v>6.33333333333333</v>
      </c>
      <c r="U78" s="26" t="n">
        <f aca="false">AVERAGE(VLOOKUP(_xlfn.TEXTSPLIT(S78,", "),$B$4:$D$23,3,0))</f>
        <v>162.222222222222</v>
      </c>
      <c r="V78" s="28" t="str">
        <f aca="false">V77 &amp; IF(U53=2,", "&amp;R53,"")</f>
        <v>7, 8, 9, 10, 11, 12, 16, 17, 18, 19, 20</v>
      </c>
      <c r="W78" s="26" t="n">
        <f aca="false">AVERAGE(VLOOKUP(_xlfn.TEXTSPLIT(V78,", "),$B$4:$D$23,2,0))</f>
        <v>9.90909090909091</v>
      </c>
      <c r="X78" s="26" t="n">
        <f aca="false">AVERAGE(VLOOKUP(_xlfn.TEXTSPLIT(V78,", "),$B$4:$D$23,3,0))</f>
        <v>254.090909090909</v>
      </c>
      <c r="Z78" s="25" t="n">
        <v>20</v>
      </c>
      <c r="AA78" s="28" t="str">
        <f aca="false">AA77 &amp; IF(AC53=1,", "&amp;Z53,"")</f>
        <v>1, 2, 3, 4, 5, 6, 13, 14, 15, 16</v>
      </c>
      <c r="AB78" s="26" t="n">
        <f aca="false">AVERAGE(VLOOKUP(_xlfn.TEXTSPLIT(AA78,", "),$B$4:$D$23,2,0))</f>
        <v>6.5</v>
      </c>
      <c r="AC78" s="26" t="n">
        <f aca="false">AVERAGE(VLOOKUP(_xlfn.TEXTSPLIT(AA78,", "),$B$4:$D$23,3,0))</f>
        <v>166.5</v>
      </c>
      <c r="AD78" s="28" t="str">
        <f aca="false">AD77 &amp; IF(AC53=2,", "&amp;Z53,"")</f>
        <v>7, 8, 9, 10, 11, 12, 17, 18, 19, 20</v>
      </c>
      <c r="AE78" s="26" t="n">
        <f aca="false">AVERAGE(VLOOKUP(_xlfn.TEXTSPLIT(AD78,", "),$B$4:$D$23,2,0))</f>
        <v>10.1</v>
      </c>
      <c r="AF78" s="26" t="n">
        <f aca="false">AVERAGE(VLOOKUP(_xlfn.TEXTSPLIT(AD78,", "),$B$4:$D$23,3,0))</f>
        <v>259</v>
      </c>
      <c r="AH78" s="25" t="n">
        <v>20</v>
      </c>
      <c r="AI78" s="28" t="str">
        <f aca="false">AI77 &amp; IF(AK53=1,", "&amp;AH53,"")</f>
        <v>1, 2, 3, 4, 5, 6, 7, 13, 14, 15, 16</v>
      </c>
      <c r="AJ78" s="26" t="n">
        <f aca="false">AVERAGE(VLOOKUP(_xlfn.TEXTSPLIT(AI78,", "),$B$4:$D$23,2,0))</f>
        <v>6.63636363636364</v>
      </c>
      <c r="AK78" s="26" t="n">
        <f aca="false">AVERAGE(VLOOKUP(_xlfn.TEXTSPLIT(AI78,", "),$B$4:$D$23,3,0))</f>
        <v>170.454545454545</v>
      </c>
      <c r="AL78" s="28" t="str">
        <f aca="false">AL77 &amp; IF(AK53=2,", "&amp;AH53,"")</f>
        <v>8, 9, 10, 11, 12, 17, 18, 19, 20</v>
      </c>
      <c r="AM78" s="26" t="n">
        <f aca="false">AVERAGE(VLOOKUP(_xlfn.TEXTSPLIT(AL78,", "),$B$4:$D$23,2,0))</f>
        <v>10.3333333333333</v>
      </c>
      <c r="AN78" s="26" t="n">
        <f aca="false">AVERAGE(VLOOKUP(_xlfn.TEXTSPLIT(AL78,", "),$B$4:$D$23,3,0))</f>
        <v>264.444444444444</v>
      </c>
      <c r="AP78" s="25" t="n">
        <v>20</v>
      </c>
      <c r="AQ78" s="28" t="str">
        <f aca="false">AQ77 &amp; IF(AS53=1,", "&amp;AP53,"")</f>
        <v>1, 2, 3, 4, 5, 6, 7, 13, 14, 15, 16</v>
      </c>
      <c r="AR78" s="26" t="n">
        <f aca="false">AVERAGE(VLOOKUP(_xlfn.TEXTSPLIT(AQ78,", "),$B$4:$D$23,2,0))</f>
        <v>6.63636363636364</v>
      </c>
      <c r="AS78" s="26" t="n">
        <f aca="false">AVERAGE(VLOOKUP(_xlfn.TEXTSPLIT(AQ78,", "),$B$4:$D$23,3,0))</f>
        <v>170.454545454545</v>
      </c>
      <c r="AT78" s="28" t="str">
        <f aca="false">AT77 &amp; IF(AS53=2,", "&amp;AP53,"")</f>
        <v>8, 9, 10, 11, 12, 17, 18, 19, 20</v>
      </c>
      <c r="AU78" s="26" t="n">
        <f aca="false">AVERAGE(VLOOKUP(_xlfn.TEXTSPLIT(AT78,", "),$B$4:$D$23,2,0))</f>
        <v>10.3333333333333</v>
      </c>
      <c r="AV78" s="26" t="n">
        <f aca="false">AVERAGE(VLOOKUP(_xlfn.TEXTSPLIT(AT78,", "),$B$4:$D$23,3,0))</f>
        <v>264.444444444444</v>
      </c>
    </row>
    <row r="79" customFormat="false" ht="18.75" hidden="false" customHeight="true" outlineLevel="0" collapsed="false">
      <c r="J79" s="1"/>
      <c r="K79" s="1"/>
      <c r="R79" s="1"/>
      <c r="S79" s="1"/>
      <c r="Z79" s="1"/>
      <c r="AA79" s="1"/>
      <c r="AH79" s="1"/>
      <c r="AI79" s="1"/>
      <c r="AP79" s="1"/>
      <c r="AQ79" s="1"/>
    </row>
    <row r="80" customFormat="false" ht="18.75" hidden="false" customHeight="true" outlineLevel="0" collapsed="false">
      <c r="B80" s="30" t="s">
        <v>28</v>
      </c>
      <c r="C80" s="21"/>
      <c r="D80" s="21"/>
      <c r="E80" s="21"/>
      <c r="J80" s="30" t="s">
        <v>28</v>
      </c>
      <c r="K80" s="21"/>
      <c r="L80" s="21"/>
      <c r="M80" s="21"/>
      <c r="R80" s="30" t="s">
        <v>28</v>
      </c>
      <c r="S80" s="21"/>
      <c r="T80" s="21"/>
      <c r="U80" s="21"/>
      <c r="Z80" s="30" t="s">
        <v>28</v>
      </c>
      <c r="AA80" s="21"/>
      <c r="AB80" s="21"/>
      <c r="AC80" s="21"/>
      <c r="AH80" s="30" t="s">
        <v>28</v>
      </c>
      <c r="AI80" s="21"/>
      <c r="AJ80" s="21"/>
      <c r="AK80" s="21"/>
      <c r="AP80" s="30" t="s">
        <v>28</v>
      </c>
      <c r="AQ80" s="21"/>
      <c r="AR80" s="21"/>
      <c r="AS80" s="21"/>
    </row>
    <row r="81" customFormat="false" ht="18.75" hidden="false" customHeight="true" outlineLevel="0" collapsed="false">
      <c r="B81" s="31"/>
      <c r="C81" s="32" t="s">
        <v>12</v>
      </c>
      <c r="D81" s="32" t="s">
        <v>13</v>
      </c>
      <c r="E81" s="32"/>
      <c r="J81" s="31"/>
      <c r="K81" s="32" t="s">
        <v>12</v>
      </c>
      <c r="L81" s="32" t="s">
        <v>13</v>
      </c>
      <c r="M81" s="32"/>
      <c r="R81" s="31"/>
      <c r="S81" s="32" t="s">
        <v>12</v>
      </c>
      <c r="T81" s="32" t="s">
        <v>13</v>
      </c>
      <c r="U81" s="32"/>
      <c r="Z81" s="31"/>
      <c r="AA81" s="32" t="s">
        <v>12</v>
      </c>
      <c r="AB81" s="32" t="s">
        <v>13</v>
      </c>
      <c r="AC81" s="32"/>
      <c r="AH81" s="31"/>
      <c r="AI81" s="32" t="s">
        <v>12</v>
      </c>
      <c r="AJ81" s="32" t="s">
        <v>13</v>
      </c>
      <c r="AK81" s="32"/>
      <c r="AP81" s="31"/>
      <c r="AQ81" s="32" t="s">
        <v>12</v>
      </c>
      <c r="AR81" s="32" t="s">
        <v>13</v>
      </c>
      <c r="AS81" s="32"/>
    </row>
    <row r="82" customFormat="false" ht="18.75" hidden="false" customHeight="true" outlineLevel="0" collapsed="false">
      <c r="B82" s="31" t="s">
        <v>14</v>
      </c>
      <c r="C82" s="14" t="str">
        <f aca="false">C78</f>
        <v>1, 2, 13, 14</v>
      </c>
      <c r="D82" s="33" t="n">
        <f aca="false">D78</f>
        <v>5.5</v>
      </c>
      <c r="E82" s="33" t="n">
        <f aca="false">E78</f>
        <v>143.75</v>
      </c>
      <c r="J82" s="31" t="s">
        <v>14</v>
      </c>
      <c r="K82" s="14" t="str">
        <f aca="false">K78</f>
        <v>1, 2, 3, 4, 5, 13, 14, 15</v>
      </c>
      <c r="L82" s="33" t="n">
        <f aca="false">L78</f>
        <v>6.125</v>
      </c>
      <c r="M82" s="33" t="n">
        <f aca="false">M78</f>
        <v>157.5</v>
      </c>
      <c r="R82" s="31" t="s">
        <v>14</v>
      </c>
      <c r="S82" s="14" t="str">
        <f aca="false">S78</f>
        <v>1, 2, 3, 4, 5, 6, 13, 14, 15</v>
      </c>
      <c r="T82" s="33" t="n">
        <f aca="false">T78</f>
        <v>6.33333333333333</v>
      </c>
      <c r="U82" s="33" t="n">
        <f aca="false">U78</f>
        <v>162.222222222222</v>
      </c>
      <c r="Z82" s="31" t="s">
        <v>14</v>
      </c>
      <c r="AA82" s="14" t="str">
        <f aca="false">AA78</f>
        <v>1, 2, 3, 4, 5, 6, 13, 14, 15, 16</v>
      </c>
      <c r="AB82" s="33" t="n">
        <f aca="false">AB78</f>
        <v>6.5</v>
      </c>
      <c r="AC82" s="33" t="n">
        <f aca="false">AC78</f>
        <v>166.5</v>
      </c>
      <c r="AH82" s="31" t="s">
        <v>14</v>
      </c>
      <c r="AI82" s="14" t="str">
        <f aca="false">AI78</f>
        <v>1, 2, 3, 4, 5, 6, 7, 13, 14, 15, 16</v>
      </c>
      <c r="AJ82" s="33" t="n">
        <f aca="false">AJ78</f>
        <v>6.63636363636364</v>
      </c>
      <c r="AK82" s="33" t="n">
        <f aca="false">AK78</f>
        <v>170.454545454545</v>
      </c>
      <c r="AP82" s="31" t="s">
        <v>14</v>
      </c>
      <c r="AQ82" s="14" t="str">
        <f aca="false">AQ78</f>
        <v>1, 2, 3, 4, 5, 6, 7, 13, 14, 15, 16</v>
      </c>
      <c r="AR82" s="33" t="n">
        <f aca="false">AR78</f>
        <v>6.63636363636364</v>
      </c>
      <c r="AS82" s="33" t="n">
        <f aca="false">AS78</f>
        <v>170.454545454545</v>
      </c>
    </row>
    <row r="83" customFormat="false" ht="50.35" hidden="false" customHeight="true" outlineLevel="0" collapsed="false">
      <c r="B83" s="31" t="s">
        <v>15</v>
      </c>
      <c r="C83" s="14" t="str">
        <f aca="false">F78</f>
        <v>3, 4, 5, 6, 7, 8, 9, 10, 11, 12, 15, 16, 17, 18, 19, 20</v>
      </c>
      <c r="D83" s="33" t="n">
        <f aca="false">G78</f>
        <v>9</v>
      </c>
      <c r="E83" s="33" t="n">
        <f aca="false">H78</f>
        <v>230</v>
      </c>
      <c r="J83" s="31" t="s">
        <v>15</v>
      </c>
      <c r="K83" s="14" t="str">
        <f aca="false">N78</f>
        <v>6, 7, 8, 9, 10, 11, 12, 16, 17, 18, 19, 20</v>
      </c>
      <c r="L83" s="33" t="n">
        <f aca="false">O78</f>
        <v>9.75</v>
      </c>
      <c r="M83" s="33" t="n">
        <f aca="false">P78</f>
        <v>249.583333333333</v>
      </c>
      <c r="R83" s="31" t="s">
        <v>15</v>
      </c>
      <c r="S83" s="14" t="str">
        <f aca="false">V78</f>
        <v>7, 8, 9, 10, 11, 12, 16, 17, 18, 19, 20</v>
      </c>
      <c r="T83" s="33" t="n">
        <f aca="false">W78</f>
        <v>9.90909090909091</v>
      </c>
      <c r="U83" s="33" t="n">
        <f aca="false">X78</f>
        <v>254.090909090909</v>
      </c>
      <c r="Z83" s="31" t="s">
        <v>15</v>
      </c>
      <c r="AA83" s="14" t="str">
        <f aca="false">AD78</f>
        <v>7, 8, 9, 10, 11, 12, 17, 18, 19, 20</v>
      </c>
      <c r="AB83" s="33" t="n">
        <f aca="false">AE78</f>
        <v>10.1</v>
      </c>
      <c r="AC83" s="33" t="n">
        <f aca="false">AF78</f>
        <v>259</v>
      </c>
      <c r="AH83" s="31" t="s">
        <v>15</v>
      </c>
      <c r="AI83" s="14" t="str">
        <f aca="false">AL78</f>
        <v>8, 9, 10, 11, 12, 17, 18, 19, 20</v>
      </c>
      <c r="AJ83" s="33" t="n">
        <f aca="false">AM78</f>
        <v>10.3333333333333</v>
      </c>
      <c r="AK83" s="33" t="n">
        <f aca="false">AN78</f>
        <v>264.444444444444</v>
      </c>
      <c r="AP83" s="31" t="s">
        <v>15</v>
      </c>
      <c r="AQ83" s="14" t="str">
        <f aca="false">AT78</f>
        <v>8, 9, 10, 11, 12, 17, 18, 19, 20</v>
      </c>
      <c r="AR83" s="33" t="n">
        <f aca="false">AU78</f>
        <v>10.3333333333333</v>
      </c>
      <c r="AS83" s="33" t="n">
        <f aca="false">AV78</f>
        <v>264.444444444444</v>
      </c>
    </row>
  </sheetData>
  <mergeCells count="43">
    <mergeCell ref="B2:D2"/>
    <mergeCell ref="D27:E27"/>
    <mergeCell ref="L27:M27"/>
    <mergeCell ref="T27:U27"/>
    <mergeCell ref="AB27:AC27"/>
    <mergeCell ref="AJ27:AK27"/>
    <mergeCell ref="AR27:AS27"/>
    <mergeCell ref="B57:B58"/>
    <mergeCell ref="C57:E57"/>
    <mergeCell ref="F57:H57"/>
    <mergeCell ref="J57:J58"/>
    <mergeCell ref="K57:M57"/>
    <mergeCell ref="N57:P57"/>
    <mergeCell ref="R57:R58"/>
    <mergeCell ref="S57:U57"/>
    <mergeCell ref="V57:X57"/>
    <mergeCell ref="Z57:Z58"/>
    <mergeCell ref="AA57:AC57"/>
    <mergeCell ref="AD57:AF57"/>
    <mergeCell ref="AH57:AH58"/>
    <mergeCell ref="AI57:AK57"/>
    <mergeCell ref="AL57:AN57"/>
    <mergeCell ref="AP57:AP58"/>
    <mergeCell ref="AQ57:AS57"/>
    <mergeCell ref="AT57:AV57"/>
    <mergeCell ref="D58:E58"/>
    <mergeCell ref="G58:H58"/>
    <mergeCell ref="L58:M58"/>
    <mergeCell ref="O58:P58"/>
    <mergeCell ref="T58:U58"/>
    <mergeCell ref="W58:X58"/>
    <mergeCell ref="AB58:AC58"/>
    <mergeCell ref="AE58:AF58"/>
    <mergeCell ref="AJ58:AK58"/>
    <mergeCell ref="AM58:AN58"/>
    <mergeCell ref="AR58:AS58"/>
    <mergeCell ref="AU58:AV58"/>
    <mergeCell ref="D81:E81"/>
    <mergeCell ref="L81:M81"/>
    <mergeCell ref="T81:U81"/>
    <mergeCell ref="AB81:AC81"/>
    <mergeCell ref="AJ81:AK81"/>
    <mergeCell ref="AR81:AS8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LibreOffice/26.2.1.2$Linux_X86_64 LibreOffice_project/4498df292cc7b696862cd17d793f3e8fd1382c8a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ASUS</dc:creator>
  <dc:description/>
  <dc:language>en-GB</dc:language>
  <cp:lastModifiedBy/>
  <dcterms:modified xsi:type="dcterms:W3CDTF">2026-03-11T01:51:02Z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