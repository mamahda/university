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7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<sst xmlns="http://schemas.openxmlformats.org/spreadsheetml/2006/main" count="97" uniqueCount="32">
  <si>
    <t xml:space="preserve">Data ke</t>
  </si>
  <si>
    <t xml:space="preserve">X1</t>
  </si>
  <si>
    <t xml:space="preserve">X2</t>
  </si>
  <si>
    <t xml:space="preserve">ITERASI 1</t>
  </si>
  <si>
    <t xml:space="preserve">ITERASI 2</t>
  </si>
  <si>
    <t xml:space="preserve">ITERASI 3</t>
  </si>
  <si>
    <t xml:space="preserve">Step 1</t>
  </si>
  <si>
    <t xml:space="preserve">Individual</t>
  </si>
  <si>
    <t xml:space="preserve">Mean of vector (centroid)</t>
  </si>
  <si>
    <t xml:space="preserve">Cluster 1</t>
  </si>
  <si>
    <t xml:space="preserve">Cluster 2</t>
  </si>
  <si>
    <t xml:space="preserve">Step 2</t>
  </si>
  <si>
    <t xml:space="preserve">- Calculate the distance data to centroids</t>
  </si>
  <si>
    <t xml:space="preserve">Centroid 1</t>
  </si>
  <si>
    <t xml:space="preserve">Centroid 2</t>
  </si>
  <si>
    <t xml:space="preserve">- Assign data to nearest clusters</t>
  </si>
  <si>
    <t xml:space="preserve">Step</t>
  </si>
  <si>
    <t xml:space="preserve">Clusters 1</t>
  </si>
  <si>
    <t xml:space="preserve">Clusters 2</t>
  </si>
  <si>
    <t xml:space="preserve">Data</t>
  </si>
  <si>
    <t xml:space="preserve">Centroid</t>
  </si>
  <si>
    <t xml:space="preserve">1, 2</t>
  </si>
  <si>
    <t xml:space="preserve">1, 2, 3</t>
  </si>
  <si>
    <t xml:space="preserve">3, 4</t>
  </si>
  <si>
    <t xml:space="preserve">4, 5</t>
  </si>
  <si>
    <t xml:space="preserve">3, 4, 5</t>
  </si>
  <si>
    <t xml:space="preserve">4, 5, 6</t>
  </si>
  <si>
    <t xml:space="preserve">3, 4, 5, 6</t>
  </si>
  <si>
    <t xml:space="preserve">4, 5, 6, 7</t>
  </si>
  <si>
    <t xml:space="preserve">3, 4, 5, 6,7</t>
  </si>
  <si>
    <t xml:space="preserve">Step 3</t>
  </si>
  <si>
    <t xml:space="preserve">3, 4, 5, 6, 7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</si>
</sst>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0"/>
  </numFmts>
  <fonts count="5">
    <font>
      <sz val="11"/>
      <color theme="1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Aptos Narrow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0" fillId="2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0" fillId="0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0" fillId="2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X43"/>
  <sheetViews>
    <sheetView showFormulas="false" showGridLines="true" showRowColHeaders="true" showZeros="true" rightToLeft="false" tabSelected="true" showOutlineSymbols="true" defaultGridColor="true" view="normal" topLeftCell="A14" colorId="64" zoomScale="100" zoomScaleNormal="100" zoomScalePageLayoutView="100" workbookViewId="0">
      <selection pane="topLeft" activeCell="B40" activeCellId="0" sqref="B40:E43"/>
    </sheetView>
  </sheetViews>
  <sheetFormatPr defaultColWidth="8.796875" defaultRowHeight="14.25" customHeight="false" zeroHeight="false" outlineLevelRow="0" outlineLevelCol="0"/>
  <cols>
    <col collapsed="false" customWidth="true" hidden="false" outlineLevel="0" max="1" min="1" style="0" width="2.47"/>
    <col collapsed="false" customWidth="true" hidden="false" outlineLevel="0" max="2" min="2" style="0" width="9.66"/>
    <col collapsed="false" customWidth="true" hidden="false" outlineLevel="0" max="3" min="3" style="0" width="12.33"/>
    <col collapsed="false" customWidth="true" hidden="false" outlineLevel="0" max="4" min="4" style="0" width="11.67"/>
    <col collapsed="false" customWidth="true" hidden="false" outlineLevel="0" max="5" min="5" style="0" width="11.47"/>
    <col collapsed="false" customWidth="true" hidden="false" outlineLevel="0" max="6" min="6" style="0" width="13.8"/>
    <col collapsed="false" customWidth="true" hidden="false" outlineLevel="0" max="7" min="7" style="0" width="10.79"/>
    <col collapsed="false" customWidth="true" hidden="false" outlineLevel="0" max="8" min="8" style="0" width="10.67"/>
    <col collapsed="false" customWidth="true" hidden="false" outlineLevel="0" max="11" min="11" style="0" width="15"/>
    <col collapsed="false" customWidth="true" hidden="false" outlineLevel="0" max="12" min="12" style="0" width="14.67"/>
    <col collapsed="false" customWidth="true" hidden="false" outlineLevel="0" max="14" min="14" style="0" width="12.33"/>
    <col collapsed="false" customWidth="true" hidden="false" outlineLevel="0" max="17" min="17" style="0" width="6.13"/>
    <col collapsed="false" customWidth="true" hidden="false" outlineLevel="0" max="19" min="19" style="0" width="13.47"/>
    <col collapsed="false" customWidth="true" hidden="false" outlineLevel="0" max="20" min="20" style="0" width="10.79"/>
  </cols>
  <sheetData>
    <row r="2" customFormat="false" ht="14.25" hidden="false" customHeight="false" outlineLevel="0" collapsed="false">
      <c r="B2" s="1" t="s">
        <v>0</v>
      </c>
      <c r="C2" s="1" t="s">
        <v>1</v>
      </c>
      <c r="D2" s="1" t="s">
        <v>2</v>
      </c>
      <c r="E2" s="2"/>
    </row>
    <row r="3" customFormat="false" ht="14.25" hidden="false" customHeight="false" outlineLevel="0" collapsed="false">
      <c r="B3" s="3" t="n">
        <v>1</v>
      </c>
      <c r="C3" s="3" t="n">
        <v>1</v>
      </c>
      <c r="D3" s="3" t="n">
        <v>1</v>
      </c>
      <c r="E3" s="4"/>
    </row>
    <row r="4" customFormat="false" ht="14.25" hidden="false" customHeight="false" outlineLevel="0" collapsed="false">
      <c r="B4" s="3" t="n">
        <v>2</v>
      </c>
      <c r="C4" s="3" t="n">
        <v>1.5</v>
      </c>
      <c r="D4" s="3" t="n">
        <v>2</v>
      </c>
      <c r="E4" s="4"/>
    </row>
    <row r="5" customFormat="false" ht="14.25" hidden="false" customHeight="false" outlineLevel="0" collapsed="false">
      <c r="B5" s="3" t="n">
        <v>3</v>
      </c>
      <c r="C5" s="3" t="n">
        <v>3</v>
      </c>
      <c r="D5" s="3" t="n">
        <v>4</v>
      </c>
      <c r="E5" s="4"/>
    </row>
    <row r="6" customFormat="false" ht="14.25" hidden="false" customHeight="false" outlineLevel="0" collapsed="false">
      <c r="B6" s="3" t="n">
        <v>4</v>
      </c>
      <c r="C6" s="3" t="n">
        <v>5</v>
      </c>
      <c r="D6" s="3" t="n">
        <v>7</v>
      </c>
      <c r="E6" s="4"/>
    </row>
    <row r="7" customFormat="false" ht="14.25" hidden="false" customHeight="false" outlineLevel="0" collapsed="false">
      <c r="B7" s="3" t="n">
        <v>5</v>
      </c>
      <c r="C7" s="3" t="n">
        <v>3.5</v>
      </c>
      <c r="D7" s="3" t="n">
        <v>5</v>
      </c>
      <c r="E7" s="4"/>
    </row>
    <row r="8" customFormat="false" ht="14.25" hidden="false" customHeight="false" outlineLevel="0" collapsed="false">
      <c r="B8" s="3" t="n">
        <v>6</v>
      </c>
      <c r="C8" s="3" t="n">
        <v>4.5</v>
      </c>
      <c r="D8" s="3" t="n">
        <v>5</v>
      </c>
      <c r="E8" s="4"/>
    </row>
    <row r="9" customFormat="false" ht="14.25" hidden="false" customHeight="false" outlineLevel="0" collapsed="false">
      <c r="A9" s="4"/>
      <c r="B9" s="3" t="n">
        <v>7</v>
      </c>
      <c r="C9" s="3" t="n">
        <v>3.5</v>
      </c>
      <c r="D9" s="3" t="n">
        <v>4.5</v>
      </c>
      <c r="E9" s="4"/>
    </row>
    <row r="11" customFormat="false" ht="14.25" hidden="false" customHeight="false" outlineLevel="0" collapsed="false">
      <c r="B11" s="5" t="s">
        <v>3</v>
      </c>
      <c r="J11" s="5" t="s">
        <v>4</v>
      </c>
      <c r="R11" s="5" t="s">
        <v>5</v>
      </c>
    </row>
    <row r="12" customFormat="false" ht="14.25" hidden="false" customHeight="false" outlineLevel="0" collapsed="false">
      <c r="B12" s="5" t="s">
        <v>6</v>
      </c>
    </row>
    <row r="13" customFormat="false" ht="27" hidden="false" customHeight="true" outlineLevel="0" collapsed="false">
      <c r="B13" s="6"/>
      <c r="C13" s="1" t="s">
        <v>7</v>
      </c>
      <c r="D13" s="7" t="s">
        <v>8</v>
      </c>
      <c r="E13" s="7"/>
      <c r="F13" s="8"/>
    </row>
    <row r="14" customFormat="false" ht="14.25" hidden="false" customHeight="false" outlineLevel="0" collapsed="false">
      <c r="B14" s="6" t="s">
        <v>9</v>
      </c>
      <c r="C14" s="3" t="n">
        <v>1</v>
      </c>
      <c r="D14" s="3" t="n">
        <v>1</v>
      </c>
      <c r="E14" s="3" t="n">
        <v>1</v>
      </c>
    </row>
    <row r="15" customFormat="false" ht="14.25" hidden="false" customHeight="false" outlineLevel="0" collapsed="false">
      <c r="B15" s="6" t="s">
        <v>10</v>
      </c>
      <c r="C15" s="3" t="n">
        <v>4</v>
      </c>
      <c r="D15" s="3" t="n">
        <v>5</v>
      </c>
      <c r="E15" s="3" t="n">
        <v>7</v>
      </c>
    </row>
    <row r="17" customFormat="false" ht="14.25" hidden="false" customHeight="false" outlineLevel="0" collapsed="false">
      <c r="B17" s="5" t="s">
        <v>11</v>
      </c>
      <c r="J17" s="5" t="s">
        <v>11</v>
      </c>
      <c r="R17" s="5" t="s">
        <v>11</v>
      </c>
    </row>
    <row r="18" customFormat="false" ht="14.25" hidden="false" customHeight="false" outlineLevel="0" collapsed="false">
      <c r="B18" s="5" t="s">
        <v>12</v>
      </c>
      <c r="J18" s="5" t="s">
        <v>12</v>
      </c>
      <c r="R18" s="5" t="s">
        <v>12</v>
      </c>
    </row>
    <row r="19" customFormat="false" ht="14.25" hidden="false" customHeight="false" outlineLevel="0" collapsed="false">
      <c r="B19" s="5"/>
      <c r="J19" s="5"/>
      <c r="R19" s="5"/>
    </row>
    <row r="20" customFormat="false" ht="14.25" hidden="false" customHeight="false" outlineLevel="0" collapsed="false">
      <c r="B20" s="1" t="s">
        <v>0</v>
      </c>
      <c r="C20" s="1" t="s">
        <v>13</v>
      </c>
      <c r="D20" s="1" t="s">
        <v>14</v>
      </c>
      <c r="E20" s="2"/>
      <c r="J20" s="1" t="s">
        <v>0</v>
      </c>
      <c r="K20" s="1" t="s">
        <v>13</v>
      </c>
      <c r="L20" s="1" t="s">
        <v>14</v>
      </c>
      <c r="M20" s="2"/>
      <c r="R20" s="1" t="s">
        <v>0</v>
      </c>
      <c r="S20" s="1" t="s">
        <v>13</v>
      </c>
      <c r="T20" s="1" t="s">
        <v>14</v>
      </c>
    </row>
    <row r="21" customFormat="false" ht="14.25" hidden="false" customHeight="false" outlineLevel="0" collapsed="false">
      <c r="B21" s="3" t="n">
        <v>1</v>
      </c>
      <c r="C21" s="9" t="n">
        <f aca="false">SQRT(SUM(POWER(C3-$D$14,2),POWER(D3-$E$14,2)))</f>
        <v>0</v>
      </c>
      <c r="D21" s="10" t="n">
        <f aca="false">SQRT(SUM(POWER(C3-$D$15,2),POWER(D3-$E$15,2)))</f>
        <v>7.21110255092798</v>
      </c>
      <c r="E21" s="11"/>
      <c r="J21" s="3" t="n">
        <v>1</v>
      </c>
      <c r="K21" s="12" t="n">
        <f aca="false">SQRT(SUM(POWER(C3-$D$42,2),POWER(D3-$E$42,2)))</f>
        <v>1.5723301886761</v>
      </c>
      <c r="L21" s="10" t="n">
        <f aca="false">SQRT(SUM(POWER(C3-$D$43,2),POWER(D3-$E$43,2)))</f>
        <v>5.37645329190164</v>
      </c>
      <c r="M21" s="11"/>
      <c r="R21" s="3" t="n">
        <v>1</v>
      </c>
      <c r="S21" s="12" t="n">
        <f aca="false">SQRT(SUM(POWER(C3-$L$42,2),POWER(D3-$M$42,2)))</f>
        <v>0.559016994374948</v>
      </c>
      <c r="T21" s="10" t="n">
        <f aca="false">SQRT(SUM(POWER(C3-$L$43,2),POWER(D3-$M$43,2)))</f>
        <v>5.02195181179589</v>
      </c>
    </row>
    <row r="22" customFormat="false" ht="14.25" hidden="false" customHeight="false" outlineLevel="0" collapsed="false">
      <c r="B22" s="3" t="n">
        <v>2</v>
      </c>
      <c r="C22" s="12" t="n">
        <f aca="false">SQRT(SUM(POWER(C4-$D$14,2),POWER(D4-$E$14,2)))</f>
        <v>1.1180339887499</v>
      </c>
      <c r="D22" s="10" t="n">
        <f aca="false">SQRT(SUM(POWER(C4-$D$15,2),POWER(D4-$E$15,2)))</f>
        <v>6.10327780786685</v>
      </c>
      <c r="E22" s="11"/>
      <c r="J22" s="3" t="n">
        <v>2</v>
      </c>
      <c r="K22" s="12" t="n">
        <f aca="false">SQRT(SUM(POWER(C4-$D$42,2),POWER(D4-$E$42,2)))</f>
        <v>0.471404520791032</v>
      </c>
      <c r="L22" s="10" t="n">
        <f aca="false">SQRT(SUM(POWER(C4-$D$43,2),POWER(D4-$E$43,2)))</f>
        <v>4.27565784412177</v>
      </c>
      <c r="M22" s="11"/>
      <c r="R22" s="3" t="n">
        <v>2</v>
      </c>
      <c r="S22" s="12" t="n">
        <f aca="false">SQRT(SUM(POWER(C4-$L$42,2),POWER(D4-$M$42,2)))</f>
        <v>0.559016994374948</v>
      </c>
      <c r="T22" s="10" t="n">
        <f aca="false">SQRT(SUM(POWER(C4-$L$43,2),POWER(D4-$M$43,2)))</f>
        <v>3.92045915678253</v>
      </c>
    </row>
    <row r="23" customFormat="false" ht="14.25" hidden="false" customHeight="false" outlineLevel="0" collapsed="false">
      <c r="B23" s="3" t="n">
        <v>3</v>
      </c>
      <c r="C23" s="12" t="n">
        <f aca="false">SQRT(SUM(POWER(C5-$D$14,2),POWER(D5-$E$14,2)))</f>
        <v>3.60555127546399</v>
      </c>
      <c r="D23" s="12" t="n">
        <f aca="false">SQRT(SUM(POWER(C5-$D$15,2),POWER(D5-$E$15,2)))</f>
        <v>3.60555127546399</v>
      </c>
      <c r="E23" s="11"/>
      <c r="J23" s="3" t="n">
        <v>3</v>
      </c>
      <c r="K23" s="10" t="n">
        <f aca="false">SQRT(SUM(POWER(C5-$D$42,2),POWER(D5-$E$42,2)))</f>
        <v>2.03442593595562</v>
      </c>
      <c r="L23" s="12" t="n">
        <f aca="false">SQRT(SUM(POWER(C5-$D$43,2),POWER(D5-$E$43,2)))</f>
        <v>1.77658380044399</v>
      </c>
      <c r="M23" s="11"/>
      <c r="R23" s="3" t="n">
        <v>3</v>
      </c>
      <c r="S23" s="10" t="n">
        <f aca="false">SQRT(SUM(POWER(C5-$L$42,2),POWER(D5-$M$42,2)))</f>
        <v>3.05163890393343</v>
      </c>
      <c r="T23" s="12" t="n">
        <f aca="false">SQRT(SUM(POWER(C5-$L$43,2),POWER(D5-$M$43,2)))</f>
        <v>1.42126704035519</v>
      </c>
    </row>
    <row r="24" customFormat="false" ht="14.25" hidden="false" customHeight="false" outlineLevel="0" collapsed="false">
      <c r="B24" s="3" t="n">
        <v>4</v>
      </c>
      <c r="C24" s="10" t="n">
        <f aca="false">SQRT(SUM(POWER(C6-$D$14,2),POWER(D6-$E$14,2)))</f>
        <v>7.21110255092798</v>
      </c>
      <c r="D24" s="12" t="n">
        <f aca="false">SQRT(SUM(POWER(C6-$D$15,2),POWER(D6-$E$15,2)))</f>
        <v>0</v>
      </c>
      <c r="E24" s="11"/>
      <c r="J24" s="3" t="n">
        <v>4</v>
      </c>
      <c r="K24" s="10" t="n">
        <f aca="false">SQRT(SUM(POWER(C6-$D$42,2),POWER(D6-$E$42,2)))</f>
        <v>5.63964143856288</v>
      </c>
      <c r="L24" s="12" t="n">
        <f aca="false">SQRT(SUM(POWER(C6-$D$43,2),POWER(D6-$E$43,2)))</f>
        <v>1.84560288252918</v>
      </c>
      <c r="M24" s="11"/>
      <c r="R24" s="3" t="n">
        <v>4</v>
      </c>
      <c r="S24" s="10" t="n">
        <f aca="false">SQRT(SUM(POWER(C6-$L$42,2),POWER(D6-$M$42,2)))</f>
        <v>6.65676347784717</v>
      </c>
      <c r="T24" s="12" t="n">
        <f aca="false">SQRT(SUM(POWER(C6-$L$43,2),POWER(D6-$M$43,2)))</f>
        <v>2.19544984001002</v>
      </c>
    </row>
    <row r="25" customFormat="false" ht="14.25" hidden="false" customHeight="false" outlineLevel="0" collapsed="false">
      <c r="B25" s="3" t="n">
        <v>5</v>
      </c>
      <c r="C25" s="10" t="n">
        <f aca="false">SQRT(SUM(POWER(C7-$D$14,2),POWER(D7-$E$14,2)))</f>
        <v>4.7169905660283</v>
      </c>
      <c r="D25" s="12" t="n">
        <f aca="false">SQRT(SUM(POWER(C7-$D$15,2),POWER(D7-$E$15,2)))</f>
        <v>2.5</v>
      </c>
      <c r="E25" s="11"/>
      <c r="J25" s="3" t="n">
        <v>5</v>
      </c>
      <c r="K25" s="10" t="n">
        <f aca="false">SQRT(SUM(POWER(C7-$D$42,2),POWER(D7-$E$42,2)))</f>
        <v>3.1446603773522</v>
      </c>
      <c r="L25" s="12" t="n">
        <f aca="false">SQRT(SUM(POWER(C7-$D$43,2),POWER(D7-$E$43,2)))</f>
        <v>0.728868986855663</v>
      </c>
      <c r="M25" s="11"/>
      <c r="R25" s="3" t="n">
        <v>5</v>
      </c>
      <c r="S25" s="10" t="n">
        <f aca="false">SQRT(SUM(POWER(C7-$L$42,2),POWER(D7-$M$42,2)))</f>
        <v>4.16082924427331</v>
      </c>
      <c r="T25" s="12" t="n">
        <f aca="false">SQRT(SUM(POWER(C7-$L$43,2),POWER(D7-$M$43,2)))</f>
        <v>0.412310562561766</v>
      </c>
    </row>
    <row r="26" customFormat="false" ht="14.25" hidden="false" customHeight="false" outlineLevel="0" collapsed="false">
      <c r="B26" s="3" t="n">
        <v>6</v>
      </c>
      <c r="C26" s="10" t="n">
        <f aca="false">SQRT(SUM(POWER(C8-$D$14,2),POWER(D8-$E$14,2)))</f>
        <v>5.31507290636733</v>
      </c>
      <c r="D26" s="12" t="n">
        <f aca="false">SQRT(SUM(POWER(C8-$D$15,2),POWER(D8-$E$15,2)))</f>
        <v>2.06155281280883</v>
      </c>
      <c r="E26" s="11"/>
      <c r="J26" s="3" t="n">
        <v>6</v>
      </c>
      <c r="K26" s="10" t="n">
        <f aca="false">SQRT(SUM(POWER(C8-$D$42,2),POWER(D8-$E$42,2)))</f>
        <v>3.77123616632825</v>
      </c>
      <c r="L26" s="12" t="n">
        <f aca="false">SQRT(SUM(POWER(C8-$D$43,2),POWER(D8-$E$43,2)))</f>
        <v>0.530330085889911</v>
      </c>
      <c r="M26" s="11"/>
      <c r="R26" s="3" t="n">
        <v>6</v>
      </c>
      <c r="S26" s="10" t="n">
        <f aca="false">SQRT(SUM(POWER(C8-$L$42,2),POWER(D8-$M$42,2)))</f>
        <v>4.7762432936357</v>
      </c>
      <c r="T26" s="12" t="n">
        <f aca="false">SQRT(SUM(POWER(C8-$L$43,2),POWER(D8-$M$43,2)))</f>
        <v>0.608276253029822</v>
      </c>
    </row>
    <row r="27" customFormat="false" ht="14.25" hidden="false" customHeight="false" outlineLevel="0" collapsed="false">
      <c r="B27" s="3" t="n">
        <v>7</v>
      </c>
      <c r="C27" s="10" t="n">
        <f aca="false">SQRT(SUM(POWER(C9-$D$14,2),POWER(D9-$E$14,2)))</f>
        <v>4.30116263352131</v>
      </c>
      <c r="D27" s="12" t="n">
        <f aca="false">SQRT(SUM(POWER(C9-$D$15,2),POWER(D9-$E$15,2)))</f>
        <v>2.91547594742265</v>
      </c>
      <c r="E27" s="11"/>
      <c r="J27" s="3" t="n">
        <v>7</v>
      </c>
      <c r="K27" s="10" t="n">
        <f aca="false">SQRT(SUM(POWER(C9-$D$42,2),POWER(D9-$E$42,2)))</f>
        <v>2.73353657780945</v>
      </c>
      <c r="L27" s="12" t="n">
        <f aca="false">SQRT(SUM(POWER(C9-$D$43,2),POWER(D9-$E$43,2)))</f>
        <v>1.07529065838033</v>
      </c>
      <c r="M27" s="11"/>
      <c r="R27" s="3" t="n">
        <v>7</v>
      </c>
      <c r="S27" s="10" t="n">
        <f aca="false">SQRT(SUM(POWER(C9-$L$42,2),POWER(D9-$M$42,2)))</f>
        <v>3.75</v>
      </c>
      <c r="T27" s="12" t="n">
        <f aca="false">SQRT(SUM(POWER(C9-$L$43,2),POWER(D9-$M$43,2)))</f>
        <v>0.721110255092798</v>
      </c>
    </row>
    <row r="29" customFormat="false" ht="14.25" hidden="false" customHeight="false" outlineLevel="0" collapsed="false">
      <c r="B29" s="5" t="s">
        <v>15</v>
      </c>
      <c r="J29" s="5" t="s">
        <v>15</v>
      </c>
      <c r="R29" s="5" t="s">
        <v>15</v>
      </c>
    </row>
    <row r="31" customFormat="false" ht="14.25" hidden="false" customHeight="false" outlineLevel="0" collapsed="false">
      <c r="B31" s="1" t="s">
        <v>16</v>
      </c>
      <c r="C31" s="1" t="s">
        <v>17</v>
      </c>
      <c r="D31" s="1"/>
      <c r="E31" s="1"/>
      <c r="F31" s="1" t="s">
        <v>18</v>
      </c>
      <c r="G31" s="1"/>
      <c r="H31" s="1"/>
      <c r="J31" s="1" t="s">
        <v>16</v>
      </c>
      <c r="K31" s="1" t="s">
        <v>17</v>
      </c>
      <c r="L31" s="1"/>
      <c r="M31" s="1"/>
      <c r="N31" s="1" t="s">
        <v>18</v>
      </c>
      <c r="O31" s="1"/>
      <c r="P31" s="1"/>
      <c r="R31" s="1" t="s">
        <v>16</v>
      </c>
      <c r="S31" s="1" t="s">
        <v>17</v>
      </c>
      <c r="T31" s="1"/>
      <c r="U31" s="1"/>
      <c r="V31" s="1" t="s">
        <v>18</v>
      </c>
      <c r="W31" s="1"/>
      <c r="X31" s="1"/>
    </row>
    <row r="32" customFormat="false" ht="14.25" hidden="false" customHeight="false" outlineLevel="0" collapsed="false">
      <c r="B32" s="1"/>
      <c r="C32" s="1" t="s">
        <v>19</v>
      </c>
      <c r="D32" s="1" t="s">
        <v>20</v>
      </c>
      <c r="E32" s="1"/>
      <c r="F32" s="1" t="s">
        <v>19</v>
      </c>
      <c r="G32" s="1" t="s">
        <v>20</v>
      </c>
      <c r="H32" s="1"/>
      <c r="J32" s="1"/>
      <c r="K32" s="1" t="s">
        <v>19</v>
      </c>
      <c r="L32" s="1" t="s">
        <v>20</v>
      </c>
      <c r="M32" s="1"/>
      <c r="N32" s="1" t="s">
        <v>19</v>
      </c>
      <c r="O32" s="1" t="s">
        <v>20</v>
      </c>
      <c r="P32" s="1"/>
      <c r="R32" s="1"/>
      <c r="S32" s="1" t="s">
        <v>19</v>
      </c>
      <c r="T32" s="1" t="s">
        <v>20</v>
      </c>
      <c r="U32" s="1"/>
      <c r="V32" s="1" t="s">
        <v>19</v>
      </c>
      <c r="W32" s="1" t="s">
        <v>20</v>
      </c>
      <c r="X32" s="1"/>
    </row>
    <row r="33" customFormat="false" ht="14.25" hidden="false" customHeight="false" outlineLevel="0" collapsed="false">
      <c r="B33" s="3" t="n">
        <v>1</v>
      </c>
      <c r="C33" s="3" t="n">
        <v>1</v>
      </c>
      <c r="D33" s="10" t="n">
        <v>1</v>
      </c>
      <c r="E33" s="10" t="n">
        <v>1</v>
      </c>
      <c r="F33" s="3" t="n">
        <v>4</v>
      </c>
      <c r="G33" s="3" t="n">
        <v>5</v>
      </c>
      <c r="H33" s="3" t="n">
        <v>7</v>
      </c>
      <c r="J33" s="3" t="n">
        <v>1</v>
      </c>
      <c r="K33" s="3" t="n">
        <v>1</v>
      </c>
      <c r="L33" s="10" t="n">
        <v>1</v>
      </c>
      <c r="M33" s="10" t="n">
        <v>1</v>
      </c>
      <c r="N33" s="3" t="n">
        <v>3</v>
      </c>
      <c r="O33" s="3" t="n">
        <v>3</v>
      </c>
      <c r="P33" s="3" t="n">
        <v>4</v>
      </c>
      <c r="R33" s="3" t="n">
        <v>1</v>
      </c>
      <c r="S33" s="3" t="n">
        <v>1</v>
      </c>
      <c r="T33" s="10" t="n">
        <v>1</v>
      </c>
      <c r="U33" s="10" t="n">
        <v>1</v>
      </c>
      <c r="V33" s="3" t="n">
        <v>3</v>
      </c>
      <c r="W33" s="3" t="n">
        <v>3</v>
      </c>
      <c r="X33" s="3" t="n">
        <v>4</v>
      </c>
    </row>
    <row r="34" customFormat="false" ht="14.25" hidden="false" customHeight="false" outlineLevel="0" collapsed="false">
      <c r="B34" s="3" t="n">
        <v>2</v>
      </c>
      <c r="C34" s="10" t="s">
        <v>21</v>
      </c>
      <c r="D34" s="10" t="n">
        <f aca="false">AVERAGE(C3,C4)</f>
        <v>1.25</v>
      </c>
      <c r="E34" s="10" t="n">
        <f aca="false">AVERAGE(D3,D4)</f>
        <v>1.5</v>
      </c>
      <c r="F34" s="3" t="n">
        <v>4</v>
      </c>
      <c r="G34" s="3" t="n">
        <v>5</v>
      </c>
      <c r="H34" s="3" t="n">
        <v>7</v>
      </c>
      <c r="J34" s="3" t="n">
        <v>2</v>
      </c>
      <c r="K34" s="10" t="s">
        <v>21</v>
      </c>
      <c r="L34" s="10" t="n">
        <f aca="false">AVERAGE(C3,C4)</f>
        <v>1.25</v>
      </c>
      <c r="M34" s="10" t="n">
        <f aca="false">AVERAGE(D3,D4)</f>
        <v>1.5</v>
      </c>
      <c r="N34" s="3" t="n">
        <v>3</v>
      </c>
      <c r="O34" s="3" t="n">
        <v>3</v>
      </c>
      <c r="P34" s="3" t="n">
        <v>4</v>
      </c>
      <c r="R34" s="3" t="n">
        <v>2</v>
      </c>
      <c r="S34" s="10" t="s">
        <v>21</v>
      </c>
      <c r="T34" s="10" t="n">
        <f aca="false">AVERAGE(C3,C4)</f>
        <v>1.25</v>
      </c>
      <c r="U34" s="10" t="n">
        <f aca="false">AVERAGE(D3,D4)</f>
        <v>1.5</v>
      </c>
      <c r="V34" s="3" t="n">
        <v>3</v>
      </c>
      <c r="W34" s="3" t="n">
        <v>3</v>
      </c>
      <c r="X34" s="3" t="n">
        <v>4</v>
      </c>
    </row>
    <row r="35" customFormat="false" ht="14.25" hidden="false" customHeight="false" outlineLevel="0" collapsed="false">
      <c r="B35" s="3" t="n">
        <v>3</v>
      </c>
      <c r="C35" s="10" t="s">
        <v>22</v>
      </c>
      <c r="D35" s="10" t="n">
        <f aca="false">AVERAGE(C3,C4,C5)</f>
        <v>1.83333333333333</v>
      </c>
      <c r="E35" s="10" t="n">
        <f aca="false">AVERAGE(D3,D4,D5)</f>
        <v>2.33333333333333</v>
      </c>
      <c r="F35" s="3" t="n">
        <v>4</v>
      </c>
      <c r="G35" s="3" t="n">
        <v>5</v>
      </c>
      <c r="H35" s="3" t="n">
        <v>7</v>
      </c>
      <c r="J35" s="3" t="n">
        <v>3</v>
      </c>
      <c r="K35" s="10" t="s">
        <v>21</v>
      </c>
      <c r="L35" s="10" t="n">
        <f aca="false">L34</f>
        <v>1.25</v>
      </c>
      <c r="M35" s="10" t="n">
        <f aca="false">M34</f>
        <v>1.5</v>
      </c>
      <c r="N35" s="3" t="s">
        <v>23</v>
      </c>
      <c r="O35" s="3" t="n">
        <f aca="false">AVERAGE(C5,C6)</f>
        <v>4</v>
      </c>
      <c r="P35" s="3" t="n">
        <f aca="false">AVERAGE(D5,D6)</f>
        <v>5.5</v>
      </c>
      <c r="R35" s="3" t="n">
        <v>3</v>
      </c>
      <c r="S35" s="10" t="s">
        <v>21</v>
      </c>
      <c r="T35" s="10" t="n">
        <f aca="false">T34</f>
        <v>1.25</v>
      </c>
      <c r="U35" s="10" t="n">
        <f aca="false">U34</f>
        <v>1.5</v>
      </c>
      <c r="V35" s="3" t="s">
        <v>23</v>
      </c>
      <c r="W35" s="3" t="n">
        <f aca="false">AVERAGE(C5,C6)</f>
        <v>4</v>
      </c>
      <c r="X35" s="3" t="n">
        <f aca="false">AVERAGE(D5,D6)</f>
        <v>5.5</v>
      </c>
    </row>
    <row r="36" customFormat="false" ht="14.25" hidden="false" customHeight="false" outlineLevel="0" collapsed="false">
      <c r="B36" s="3" t="n">
        <v>4</v>
      </c>
      <c r="C36" s="10" t="s">
        <v>22</v>
      </c>
      <c r="D36" s="10" t="n">
        <f aca="false">AVERAGE(C3,C4,C5)</f>
        <v>1.83333333333333</v>
      </c>
      <c r="E36" s="10" t="n">
        <f aca="false">AVERAGE(D3,D4,D5)</f>
        <v>2.33333333333333</v>
      </c>
      <c r="F36" s="3" t="s">
        <v>24</v>
      </c>
      <c r="G36" s="3" t="n">
        <f aca="false">AVERAGE(C6,C7)</f>
        <v>4.25</v>
      </c>
      <c r="H36" s="3" t="n">
        <f aca="false">AVERAGE(D6,D7)</f>
        <v>6</v>
      </c>
      <c r="J36" s="3" t="n">
        <v>4</v>
      </c>
      <c r="K36" s="10" t="s">
        <v>21</v>
      </c>
      <c r="L36" s="10" t="n">
        <f aca="false">L35</f>
        <v>1.25</v>
      </c>
      <c r="M36" s="10" t="n">
        <f aca="false">M35</f>
        <v>1.5</v>
      </c>
      <c r="N36" s="3" t="s">
        <v>25</v>
      </c>
      <c r="O36" s="10" t="n">
        <f aca="false">AVERAGE(C5,C6,C7)</f>
        <v>3.83333333333333</v>
      </c>
      <c r="P36" s="10" t="n">
        <f aca="false">AVERAGE(D5,D6,D7)</f>
        <v>5.33333333333333</v>
      </c>
      <c r="R36" s="3" t="n">
        <v>4</v>
      </c>
      <c r="S36" s="10" t="s">
        <v>21</v>
      </c>
      <c r="T36" s="10" t="n">
        <f aca="false">T35</f>
        <v>1.25</v>
      </c>
      <c r="U36" s="10" t="n">
        <f aca="false">U35</f>
        <v>1.5</v>
      </c>
      <c r="V36" s="3" t="s">
        <v>25</v>
      </c>
      <c r="W36" s="10" t="n">
        <f aca="false">AVERAGE(C5,C6,C7)</f>
        <v>3.83333333333333</v>
      </c>
      <c r="X36" s="10" t="n">
        <f aca="false">AVERAGE(D5,D6,D7)</f>
        <v>5.33333333333333</v>
      </c>
    </row>
    <row r="37" customFormat="false" ht="14.25" hidden="false" customHeight="false" outlineLevel="0" collapsed="false">
      <c r="B37" s="3" t="n">
        <v>5</v>
      </c>
      <c r="C37" s="10" t="s">
        <v>22</v>
      </c>
      <c r="D37" s="10" t="n">
        <f aca="false">AVERAGE(C3,C4,C5)</f>
        <v>1.83333333333333</v>
      </c>
      <c r="E37" s="10" t="n">
        <f aca="false">AVERAGE(D3,D4,D5)</f>
        <v>2.33333333333333</v>
      </c>
      <c r="F37" s="3" t="s">
        <v>26</v>
      </c>
      <c r="G37" s="10" t="n">
        <f aca="false">AVERAGE(C6,C7,C8)</f>
        <v>4.33333333333333</v>
      </c>
      <c r="H37" s="10" t="n">
        <f aca="false">AVERAGE(D6,D7,D8)</f>
        <v>5.66666666666667</v>
      </c>
      <c r="J37" s="3" t="n">
        <v>5</v>
      </c>
      <c r="K37" s="10" t="s">
        <v>21</v>
      </c>
      <c r="L37" s="10" t="n">
        <f aca="false">L36</f>
        <v>1.25</v>
      </c>
      <c r="M37" s="10" t="n">
        <f aca="false">M36</f>
        <v>1.5</v>
      </c>
      <c r="N37" s="3" t="s">
        <v>27</v>
      </c>
      <c r="O37" s="10" t="n">
        <f aca="false">AVERAGE(C5,C6,C7,C8)</f>
        <v>4</v>
      </c>
      <c r="P37" s="10" t="n">
        <f aca="false">AVERAGE(D5,D6,D7,D8)</f>
        <v>5.25</v>
      </c>
      <c r="R37" s="3" t="n">
        <v>5</v>
      </c>
      <c r="S37" s="10" t="s">
        <v>21</v>
      </c>
      <c r="T37" s="10" t="n">
        <f aca="false">T36</f>
        <v>1.25</v>
      </c>
      <c r="U37" s="10" t="n">
        <f aca="false">U36</f>
        <v>1.5</v>
      </c>
      <c r="V37" s="3" t="s">
        <v>27</v>
      </c>
      <c r="W37" s="10" t="n">
        <f aca="false">AVERAGE(C5,C6,C7,C8)</f>
        <v>4</v>
      </c>
      <c r="X37" s="10" t="n">
        <f aca="false">AVERAGE(D5,D6,D7,D8)</f>
        <v>5.25</v>
      </c>
    </row>
    <row r="38" customFormat="false" ht="14.25" hidden="false" customHeight="false" outlineLevel="0" collapsed="false">
      <c r="B38" s="3" t="n">
        <v>6</v>
      </c>
      <c r="C38" s="10" t="s">
        <v>22</v>
      </c>
      <c r="D38" s="10" t="n">
        <f aca="false">AVERAGE(C3,C4,C5)</f>
        <v>1.83333333333333</v>
      </c>
      <c r="E38" s="10" t="n">
        <f aca="false">AVERAGE(D3,D4,D5)</f>
        <v>2.33333333333333</v>
      </c>
      <c r="F38" s="3" t="s">
        <v>28</v>
      </c>
      <c r="G38" s="10" t="n">
        <f aca="false">AVERAGE(C6,C7,C8,C9)</f>
        <v>4.125</v>
      </c>
      <c r="H38" s="10" t="n">
        <f aca="false">AVERAGE(D6,D7,D8,D9)</f>
        <v>5.375</v>
      </c>
      <c r="J38" s="3" t="n">
        <v>6</v>
      </c>
      <c r="K38" s="10" t="s">
        <v>21</v>
      </c>
      <c r="L38" s="10" t="n">
        <f aca="false">L37</f>
        <v>1.25</v>
      </c>
      <c r="M38" s="10" t="n">
        <f aca="false">M37</f>
        <v>1.5</v>
      </c>
      <c r="N38" s="3" t="s">
        <v>29</v>
      </c>
      <c r="O38" s="10" t="n">
        <f aca="false">AVERAGE(C5, C6,C7,C8,C9)</f>
        <v>3.9</v>
      </c>
      <c r="P38" s="10" t="n">
        <f aca="false">AVERAGE(D5, D6,D7,D8,D9)</f>
        <v>5.1</v>
      </c>
      <c r="R38" s="3" t="n">
        <v>6</v>
      </c>
      <c r="S38" s="10" t="s">
        <v>21</v>
      </c>
      <c r="T38" s="10" t="n">
        <f aca="false">T37</f>
        <v>1.25</v>
      </c>
      <c r="U38" s="10" t="n">
        <f aca="false">U37</f>
        <v>1.5</v>
      </c>
      <c r="V38" s="3" t="s">
        <v>29</v>
      </c>
      <c r="W38" s="10" t="n">
        <f aca="false">AVERAGE(C5,C6,C7,C8,C9)</f>
        <v>3.9</v>
      </c>
      <c r="X38" s="10" t="n">
        <f aca="false">AVERAGE(D5,D6,D7,D8,D9)</f>
        <v>5.1</v>
      </c>
    </row>
    <row r="40" customFormat="false" ht="14.25" hidden="false" customHeight="false" outlineLevel="0" collapsed="false">
      <c r="B40" s="5" t="s">
        <v>30</v>
      </c>
      <c r="J40" s="5" t="s">
        <v>30</v>
      </c>
      <c r="R40" s="5" t="s">
        <v>30</v>
      </c>
    </row>
    <row r="41" customFormat="false" ht="30.8" hidden="false" customHeight="true" outlineLevel="0" collapsed="false">
      <c r="B41" s="6"/>
      <c r="C41" s="1" t="s">
        <v>7</v>
      </c>
      <c r="D41" s="7" t="s">
        <v>8</v>
      </c>
      <c r="E41" s="7"/>
      <c r="J41" s="6"/>
      <c r="K41" s="1" t="s">
        <v>7</v>
      </c>
      <c r="L41" s="7" t="s">
        <v>8</v>
      </c>
      <c r="M41" s="7"/>
      <c r="R41" s="6"/>
      <c r="S41" s="1" t="s">
        <v>7</v>
      </c>
      <c r="T41" s="7" t="s">
        <v>8</v>
      </c>
      <c r="U41" s="7"/>
    </row>
    <row r="42" customFormat="false" ht="14.25" hidden="false" customHeight="false" outlineLevel="0" collapsed="false">
      <c r="B42" s="6" t="s">
        <v>9</v>
      </c>
      <c r="C42" s="3" t="s">
        <v>22</v>
      </c>
      <c r="D42" s="10" t="n">
        <f aca="false">D38</f>
        <v>1.83333333333333</v>
      </c>
      <c r="E42" s="10" t="n">
        <f aca="false">E38</f>
        <v>2.33333333333333</v>
      </c>
      <c r="J42" s="6" t="s">
        <v>9</v>
      </c>
      <c r="K42" s="3" t="s">
        <v>21</v>
      </c>
      <c r="L42" s="10" t="n">
        <f aca="false">L38</f>
        <v>1.25</v>
      </c>
      <c r="M42" s="10" t="n">
        <f aca="false">M38</f>
        <v>1.5</v>
      </c>
      <c r="R42" s="6" t="s">
        <v>9</v>
      </c>
      <c r="S42" s="3" t="s">
        <v>21</v>
      </c>
      <c r="T42" s="10" t="n">
        <f aca="false">T38</f>
        <v>1.25</v>
      </c>
      <c r="U42" s="10" t="n">
        <f aca="false">U38</f>
        <v>1.5</v>
      </c>
    </row>
    <row r="43" customFormat="false" ht="14.25" hidden="false" customHeight="false" outlineLevel="0" collapsed="false">
      <c r="B43" s="6" t="s">
        <v>10</v>
      </c>
      <c r="C43" s="3" t="s">
        <v>28</v>
      </c>
      <c r="D43" s="10" t="n">
        <f aca="false">G38</f>
        <v>4.125</v>
      </c>
      <c r="E43" s="10" t="n">
        <f aca="false">H38</f>
        <v>5.375</v>
      </c>
      <c r="J43" s="6" t="s">
        <v>10</v>
      </c>
      <c r="K43" s="3" t="s">
        <v>31</v>
      </c>
      <c r="L43" s="10" t="n">
        <f aca="false">O38</f>
        <v>3.9</v>
      </c>
      <c r="M43" s="10" t="n">
        <f aca="false">P38</f>
        <v>5.1</v>
      </c>
      <c r="R43" s="6" t="s">
        <v>10</v>
      </c>
      <c r="S43" s="3" t="s">
        <v>31</v>
      </c>
      <c r="T43" s="10" t="n">
        <f aca="false">W38</f>
        <v>3.9</v>
      </c>
      <c r="U43" s="10" t="n">
        <f aca="false">X38</f>
        <v>5.1</v>
      </c>
    </row>
  </sheetData>
  <mergeCells count="19">
    <mergeCell ref="D13:E13"/>
    <mergeCell ref="B31:B32"/>
    <mergeCell ref="C31:E31"/>
    <mergeCell ref="F31:H31"/>
    <mergeCell ref="J31:J32"/>
    <mergeCell ref="K31:M31"/>
    <mergeCell ref="N31:P31"/>
    <mergeCell ref="R31:R32"/>
    <mergeCell ref="S31:U31"/>
    <mergeCell ref="V31:X31"/>
    <mergeCell ref="D32:E32"/>
    <mergeCell ref="G32:H32"/>
    <mergeCell ref="L32:M32"/>
    <mergeCell ref="O32:P32"/>
    <mergeCell ref="T32:U32"/>
    <mergeCell ref="W32:X32"/>
    <mergeCell ref="D41:E41"/>
    <mergeCell ref="L41:M41"/>
    <mergeCell ref="T41:U4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68</TotalTime>
  <Application>LibreOffice/26.2.1.2$Linux_X86_64 LibreOffice_project/4498df292cc7b696862cd17d793f3e8fd1382c8a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2025-03-04T02:00:51Z</dcterms:created>
  <dc:creator>Aldinata Rizky Revanda</dc:creator>
  <dc:description/>
  <dc:language>en-GB</dc:language>
  <cp:lastModifiedBy/>
  <dcterms:modified xsi:type="dcterms:W3CDTF">2026-03-11T00:39:48Z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