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/>
  <mc:AlternateContent xmlns:mc="http://schemas.openxmlformats.org/markup-compatibility/2006">
    <mc:Choice Requires="x15">
      <x15ac:absPath xmlns:x15ac="http://schemas.microsoft.com/office/spreadsheetml/2010/11/ac" url="/Users/farelfebryan/Machine Learning Tugas/"/>
    </mc:Choice>
  </mc:AlternateContent>
  <xr:revisionPtr revIDLastSave="0" documentId="8_{8EAAF539-9C06-DE48-85BF-3CED43AD3793}" xr6:coauthVersionLast="47" xr6:coauthVersionMax="47" xr10:uidLastSave="{00000000-0000-0000-0000-000000000000}"/>
  <bookViews>
    <workbookView xWindow="0" yWindow="660" windowWidth="29400" windowHeight="17140" tabRatio="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113" i="1" l="1"/>
  <c r="K113" i="1"/>
  <c r="C113" i="1"/>
  <c r="T106" i="1"/>
  <c r="S106" i="1"/>
  <c r="L106" i="1"/>
  <c r="K106" i="1"/>
  <c r="D106" i="1"/>
  <c r="C106" i="1"/>
  <c r="S105" i="1"/>
  <c r="K105" i="1"/>
  <c r="C105" i="1"/>
  <c r="U98" i="1"/>
  <c r="T98" i="1"/>
  <c r="S98" i="1"/>
  <c r="M98" i="1"/>
  <c r="L98" i="1"/>
  <c r="K98" i="1"/>
  <c r="E98" i="1"/>
  <c r="D98" i="1"/>
  <c r="C98" i="1"/>
  <c r="T97" i="1"/>
  <c r="S97" i="1"/>
  <c r="L97" i="1"/>
  <c r="K97" i="1"/>
  <c r="D97" i="1"/>
  <c r="C97" i="1"/>
  <c r="S96" i="1"/>
  <c r="K96" i="1"/>
  <c r="C96" i="1"/>
  <c r="V89" i="1"/>
  <c r="U89" i="1"/>
  <c r="T89" i="1"/>
  <c r="S89" i="1"/>
  <c r="N89" i="1"/>
  <c r="M89" i="1"/>
  <c r="L89" i="1"/>
  <c r="K89" i="1"/>
  <c r="F89" i="1"/>
  <c r="E89" i="1"/>
  <c r="D89" i="1"/>
  <c r="C89" i="1"/>
  <c r="U88" i="1"/>
  <c r="T88" i="1"/>
  <c r="S88" i="1"/>
  <c r="M88" i="1"/>
  <c r="L88" i="1"/>
  <c r="K88" i="1"/>
  <c r="E88" i="1"/>
  <c r="D88" i="1"/>
  <c r="C88" i="1"/>
  <c r="T87" i="1"/>
  <c r="S87" i="1"/>
  <c r="L87" i="1"/>
  <c r="K87" i="1"/>
  <c r="D87" i="1"/>
  <c r="C87" i="1"/>
  <c r="S86" i="1"/>
  <c r="K86" i="1"/>
  <c r="C86" i="1"/>
  <c r="W79" i="1"/>
  <c r="V79" i="1"/>
  <c r="U79" i="1"/>
  <c r="T79" i="1"/>
  <c r="S79" i="1"/>
  <c r="O79" i="1"/>
  <c r="N79" i="1"/>
  <c r="M79" i="1"/>
  <c r="L79" i="1"/>
  <c r="K79" i="1"/>
  <c r="G79" i="1"/>
  <c r="F79" i="1"/>
  <c r="E79" i="1"/>
  <c r="D79" i="1"/>
  <c r="C79" i="1"/>
  <c r="V78" i="1"/>
  <c r="U78" i="1"/>
  <c r="T78" i="1"/>
  <c r="S78" i="1"/>
  <c r="N78" i="1"/>
  <c r="M78" i="1"/>
  <c r="L78" i="1"/>
  <c r="K78" i="1"/>
  <c r="F78" i="1"/>
  <c r="E78" i="1"/>
  <c r="D78" i="1"/>
  <c r="C78" i="1"/>
  <c r="U77" i="1"/>
  <c r="T77" i="1"/>
  <c r="S77" i="1"/>
  <c r="M77" i="1"/>
  <c r="L77" i="1"/>
  <c r="K77" i="1"/>
  <c r="E77" i="1"/>
  <c r="D77" i="1"/>
  <c r="C77" i="1"/>
  <c r="T76" i="1"/>
  <c r="S76" i="1"/>
  <c r="L76" i="1"/>
  <c r="K76" i="1"/>
  <c r="D76" i="1"/>
  <c r="C76" i="1"/>
  <c r="S75" i="1"/>
  <c r="K75" i="1"/>
  <c r="C75" i="1"/>
  <c r="X68" i="1"/>
  <c r="W68" i="1"/>
  <c r="V68" i="1"/>
  <c r="U68" i="1"/>
  <c r="T68" i="1"/>
  <c r="S68" i="1"/>
  <c r="P68" i="1"/>
  <c r="O68" i="1"/>
  <c r="N68" i="1"/>
  <c r="M68" i="1"/>
  <c r="L68" i="1"/>
  <c r="K68" i="1"/>
  <c r="H68" i="1"/>
  <c r="G68" i="1"/>
  <c r="F68" i="1"/>
  <c r="E68" i="1"/>
  <c r="D68" i="1"/>
  <c r="C68" i="1"/>
  <c r="W67" i="1"/>
  <c r="V67" i="1"/>
  <c r="U67" i="1"/>
  <c r="T67" i="1"/>
  <c r="S67" i="1"/>
  <c r="O67" i="1"/>
  <c r="N67" i="1"/>
  <c r="M67" i="1"/>
  <c r="L67" i="1"/>
  <c r="K67" i="1"/>
  <c r="G67" i="1"/>
  <c r="F67" i="1"/>
  <c r="E67" i="1"/>
  <c r="D67" i="1"/>
  <c r="C67" i="1"/>
  <c r="V66" i="1"/>
  <c r="U66" i="1"/>
  <c r="T66" i="1"/>
  <c r="S66" i="1"/>
  <c r="N66" i="1"/>
  <c r="M66" i="1"/>
  <c r="L66" i="1"/>
  <c r="K66" i="1"/>
  <c r="F66" i="1"/>
  <c r="E66" i="1"/>
  <c r="D66" i="1"/>
  <c r="C66" i="1"/>
  <c r="U65" i="1"/>
  <c r="T65" i="1"/>
  <c r="S65" i="1"/>
  <c r="M65" i="1"/>
  <c r="L65" i="1"/>
  <c r="K65" i="1"/>
  <c r="E65" i="1"/>
  <c r="D65" i="1"/>
  <c r="C65" i="1"/>
  <c r="T64" i="1"/>
  <c r="S64" i="1"/>
  <c r="L64" i="1"/>
  <c r="K64" i="1"/>
  <c r="D64" i="1"/>
  <c r="C64" i="1"/>
  <c r="S63" i="1"/>
  <c r="K63" i="1"/>
  <c r="C63" i="1"/>
  <c r="Y56" i="1"/>
  <c r="X56" i="1"/>
  <c r="W56" i="1"/>
  <c r="V56" i="1"/>
  <c r="U56" i="1"/>
  <c r="T56" i="1"/>
  <c r="S56" i="1"/>
  <c r="Q56" i="1"/>
  <c r="P56" i="1"/>
  <c r="O56" i="1"/>
  <c r="N56" i="1"/>
  <c r="M56" i="1"/>
  <c r="L56" i="1"/>
  <c r="K56" i="1"/>
  <c r="I56" i="1"/>
  <c r="H56" i="1"/>
  <c r="G56" i="1"/>
  <c r="F56" i="1"/>
  <c r="E56" i="1"/>
  <c r="D56" i="1"/>
  <c r="C56" i="1"/>
  <c r="X55" i="1"/>
  <c r="W55" i="1"/>
  <c r="V55" i="1"/>
  <c r="U55" i="1"/>
  <c r="T55" i="1"/>
  <c r="S55" i="1"/>
  <c r="P55" i="1"/>
  <c r="O55" i="1"/>
  <c r="N55" i="1"/>
  <c r="M55" i="1"/>
  <c r="L55" i="1"/>
  <c r="K55" i="1"/>
  <c r="H55" i="1"/>
  <c r="G55" i="1"/>
  <c r="F55" i="1"/>
  <c r="E55" i="1"/>
  <c r="D55" i="1"/>
  <c r="C55" i="1"/>
  <c r="W54" i="1"/>
  <c r="V54" i="1"/>
  <c r="U54" i="1"/>
  <c r="T54" i="1"/>
  <c r="S54" i="1"/>
  <c r="O54" i="1"/>
  <c r="N54" i="1"/>
  <c r="M54" i="1"/>
  <c r="L54" i="1"/>
  <c r="K54" i="1"/>
  <c r="G54" i="1"/>
  <c r="F54" i="1"/>
  <c r="E54" i="1"/>
  <c r="D54" i="1"/>
  <c r="C54" i="1"/>
  <c r="V53" i="1"/>
  <c r="U53" i="1"/>
  <c r="T53" i="1"/>
  <c r="S53" i="1"/>
  <c r="N53" i="1"/>
  <c r="M53" i="1"/>
  <c r="L53" i="1"/>
  <c r="K53" i="1"/>
  <c r="F53" i="1"/>
  <c r="E53" i="1"/>
  <c r="D53" i="1"/>
  <c r="C53" i="1"/>
  <c r="U52" i="1"/>
  <c r="T52" i="1"/>
  <c r="S52" i="1"/>
  <c r="M52" i="1"/>
  <c r="L52" i="1"/>
  <c r="K52" i="1"/>
  <c r="E52" i="1"/>
  <c r="D52" i="1"/>
  <c r="C52" i="1"/>
  <c r="T51" i="1"/>
  <c r="S51" i="1"/>
  <c r="L51" i="1"/>
  <c r="K51" i="1"/>
  <c r="D51" i="1"/>
  <c r="C51" i="1"/>
  <c r="S50" i="1"/>
  <c r="K50" i="1"/>
  <c r="C50" i="1"/>
  <c r="Z43" i="1"/>
  <c r="Y43" i="1"/>
  <c r="X43" i="1"/>
  <c r="W43" i="1"/>
  <c r="V43" i="1"/>
  <c r="U43" i="1"/>
  <c r="T43" i="1"/>
  <c r="S43" i="1"/>
  <c r="Q43" i="1"/>
  <c r="P43" i="1"/>
  <c r="O43" i="1"/>
  <c r="N43" i="1"/>
  <c r="M43" i="1"/>
  <c r="L43" i="1"/>
  <c r="K43" i="1"/>
  <c r="I43" i="1"/>
  <c r="H43" i="1"/>
  <c r="G43" i="1"/>
  <c r="F43" i="1"/>
  <c r="E43" i="1"/>
  <c r="D43" i="1"/>
  <c r="C43" i="1"/>
  <c r="Y42" i="1"/>
  <c r="X42" i="1"/>
  <c r="W42" i="1"/>
  <c r="V42" i="1"/>
  <c r="U42" i="1"/>
  <c r="T42" i="1"/>
  <c r="S42" i="1"/>
  <c r="Q42" i="1"/>
  <c r="P42" i="1"/>
  <c r="O42" i="1"/>
  <c r="N42" i="1"/>
  <c r="M42" i="1"/>
  <c r="L42" i="1"/>
  <c r="K42" i="1"/>
  <c r="I42" i="1"/>
  <c r="H42" i="1"/>
  <c r="G42" i="1"/>
  <c r="F42" i="1"/>
  <c r="E42" i="1"/>
  <c r="D42" i="1"/>
  <c r="C42" i="1"/>
  <c r="X41" i="1"/>
  <c r="W41" i="1"/>
  <c r="V41" i="1"/>
  <c r="U41" i="1"/>
  <c r="T41" i="1"/>
  <c r="S41" i="1"/>
  <c r="P41" i="1"/>
  <c r="O41" i="1"/>
  <c r="N41" i="1"/>
  <c r="M41" i="1"/>
  <c r="L41" i="1"/>
  <c r="K41" i="1"/>
  <c r="H41" i="1"/>
  <c r="G41" i="1"/>
  <c r="F41" i="1"/>
  <c r="E41" i="1"/>
  <c r="D41" i="1"/>
  <c r="C41" i="1"/>
  <c r="W40" i="1"/>
  <c r="V40" i="1"/>
  <c r="U40" i="1"/>
  <c r="T40" i="1"/>
  <c r="S40" i="1"/>
  <c r="O40" i="1"/>
  <c r="N40" i="1"/>
  <c r="M40" i="1"/>
  <c r="L40" i="1"/>
  <c r="K40" i="1"/>
  <c r="G40" i="1"/>
  <c r="F40" i="1"/>
  <c r="E40" i="1"/>
  <c r="D40" i="1"/>
  <c r="C40" i="1"/>
  <c r="V39" i="1"/>
  <c r="U39" i="1"/>
  <c r="T39" i="1"/>
  <c r="S39" i="1"/>
  <c r="N39" i="1"/>
  <c r="M39" i="1"/>
  <c r="L39" i="1"/>
  <c r="K39" i="1"/>
  <c r="F39" i="1"/>
  <c r="E39" i="1"/>
  <c r="D39" i="1"/>
  <c r="C39" i="1"/>
  <c r="U38" i="1"/>
  <c r="T38" i="1"/>
  <c r="S38" i="1"/>
  <c r="M38" i="1"/>
  <c r="L38" i="1"/>
  <c r="K38" i="1"/>
  <c r="E38" i="1"/>
  <c r="D38" i="1"/>
  <c r="C38" i="1"/>
  <c r="T37" i="1"/>
  <c r="S37" i="1"/>
  <c r="L37" i="1"/>
  <c r="K37" i="1"/>
  <c r="D37" i="1"/>
  <c r="C37" i="1"/>
  <c r="S36" i="1"/>
  <c r="K36" i="1"/>
  <c r="C36" i="1"/>
  <c r="AA29" i="1"/>
  <c r="Z29" i="1"/>
  <c r="Y29" i="1"/>
  <c r="X29" i="1"/>
  <c r="W29" i="1"/>
  <c r="V29" i="1"/>
  <c r="U29" i="1"/>
  <c r="T29" i="1"/>
  <c r="S29" i="1"/>
  <c r="Q29" i="1"/>
  <c r="P29" i="1"/>
  <c r="O29" i="1"/>
  <c r="N29" i="1"/>
  <c r="M29" i="1"/>
  <c r="L29" i="1"/>
  <c r="K29" i="1"/>
  <c r="I29" i="1"/>
  <c r="H29" i="1"/>
  <c r="G29" i="1"/>
  <c r="F29" i="1"/>
  <c r="E29" i="1"/>
  <c r="D29" i="1"/>
  <c r="C29" i="1"/>
  <c r="Z28" i="1"/>
  <c r="Y28" i="1"/>
  <c r="X28" i="1"/>
  <c r="W28" i="1"/>
  <c r="V28" i="1"/>
  <c r="U28" i="1"/>
  <c r="T28" i="1"/>
  <c r="S28" i="1"/>
  <c r="Q28" i="1"/>
  <c r="P28" i="1"/>
  <c r="O28" i="1"/>
  <c r="N28" i="1"/>
  <c r="M28" i="1"/>
  <c r="L28" i="1"/>
  <c r="K28" i="1"/>
  <c r="I28" i="1"/>
  <c r="H28" i="1"/>
  <c r="G28" i="1"/>
  <c r="F28" i="1"/>
  <c r="E28" i="1"/>
  <c r="D28" i="1"/>
  <c r="C28" i="1"/>
  <c r="Y27" i="1"/>
  <c r="X27" i="1"/>
  <c r="W27" i="1"/>
  <c r="V27" i="1"/>
  <c r="U27" i="1"/>
  <c r="T27" i="1"/>
  <c r="S27" i="1"/>
  <c r="Q27" i="1"/>
  <c r="P27" i="1"/>
  <c r="O27" i="1"/>
  <c r="N27" i="1"/>
  <c r="M27" i="1"/>
  <c r="L27" i="1"/>
  <c r="K27" i="1"/>
  <c r="I27" i="1"/>
  <c r="H27" i="1"/>
  <c r="G27" i="1"/>
  <c r="F27" i="1"/>
  <c r="E27" i="1"/>
  <c r="D27" i="1"/>
  <c r="C27" i="1"/>
  <c r="X26" i="1"/>
  <c r="W26" i="1"/>
  <c r="V26" i="1"/>
  <c r="U26" i="1"/>
  <c r="T26" i="1"/>
  <c r="S26" i="1"/>
  <c r="P26" i="1"/>
  <c r="O26" i="1"/>
  <c r="N26" i="1"/>
  <c r="M26" i="1"/>
  <c r="L26" i="1"/>
  <c r="K26" i="1"/>
  <c r="H26" i="1"/>
  <c r="G26" i="1"/>
  <c r="F26" i="1"/>
  <c r="E26" i="1"/>
  <c r="D26" i="1"/>
  <c r="C26" i="1"/>
  <c r="W25" i="1"/>
  <c r="V25" i="1"/>
  <c r="U25" i="1"/>
  <c r="T25" i="1"/>
  <c r="S25" i="1"/>
  <c r="O25" i="1"/>
  <c r="N25" i="1"/>
  <c r="M25" i="1"/>
  <c r="L25" i="1"/>
  <c r="K25" i="1"/>
  <c r="G25" i="1"/>
  <c r="F25" i="1"/>
  <c r="E25" i="1"/>
  <c r="D25" i="1"/>
  <c r="C25" i="1"/>
  <c r="V24" i="1"/>
  <c r="U24" i="1"/>
  <c r="T24" i="1"/>
  <c r="S24" i="1"/>
  <c r="N24" i="1"/>
  <c r="M24" i="1"/>
  <c r="L24" i="1"/>
  <c r="K24" i="1"/>
  <c r="F24" i="1"/>
  <c r="E24" i="1"/>
  <c r="D24" i="1"/>
  <c r="C24" i="1"/>
  <c r="U23" i="1"/>
  <c r="T23" i="1"/>
  <c r="S23" i="1"/>
  <c r="M23" i="1"/>
  <c r="L23" i="1"/>
  <c r="K23" i="1"/>
  <c r="E23" i="1"/>
  <c r="D23" i="1"/>
  <c r="C23" i="1"/>
  <c r="T22" i="1"/>
  <c r="S22" i="1"/>
  <c r="L22" i="1"/>
  <c r="K22" i="1"/>
  <c r="D22" i="1"/>
  <c r="C22" i="1"/>
  <c r="S21" i="1"/>
  <c r="K21" i="1"/>
  <c r="C21" i="1"/>
</calcChain>
</file>

<file path=xl/sharedStrings.xml><?xml version="1.0" encoding="utf-8"?>
<sst xmlns="http://schemas.openxmlformats.org/spreadsheetml/2006/main" count="443" uniqueCount="63">
  <si>
    <t>Sumber Matriks Jarak (P1–P10)</t>
  </si>
  <si>
    <t>P1</t>
  </si>
  <si>
    <t>P2</t>
  </si>
  <si>
    <t>P3</t>
  </si>
  <si>
    <t>P4</t>
  </si>
  <si>
    <t>P5</t>
  </si>
  <si>
    <t>P6</t>
  </si>
  <si>
    <t>P7</t>
  </si>
  <si>
    <t>P8</t>
  </si>
  <si>
    <t>P9</t>
  </si>
  <si>
    <t>P10</t>
  </si>
  <si>
    <t>Step 1:</t>
  </si>
  <si>
    <t>- Distance Matrix</t>
  </si>
  <si>
    <t>Data</t>
  </si>
  <si>
    <t>Step 2:</t>
  </si>
  <si>
    <t>- Update distance Matrix : Merge P2 &amp; P1 ==&gt; complete link</t>
  </si>
  <si>
    <t>- Update distance Matrix : Merge P2 &amp; P1 ==&gt; single link</t>
  </si>
  <si>
    <t>- Update distance Matrix : Merge P2 &amp; P1 ==&gt; average link</t>
  </si>
  <si>
    <t>P2, P1</t>
  </si>
  <si>
    <t>Step 3:</t>
  </si>
  <si>
    <t>- Update distance Matrix : Merge P8 &amp; P4 ==&gt; complete link</t>
  </si>
  <si>
    <t>- Update distance Matrix : Merge P7 &amp; P2, P1 ==&gt; single link</t>
  </si>
  <si>
    <t>- Update distance Matrix : Merge P8 &amp; P4 ==&gt; average link</t>
  </si>
  <si>
    <t>P8, P4</t>
  </si>
  <si>
    <t>P7, P2, P1</t>
  </si>
  <si>
    <t>Step 4:</t>
  </si>
  <si>
    <t>- Update distance Matrix : Merge P7 &amp; P2, P1 ==&gt; complete link</t>
  </si>
  <si>
    <t>- Update distance Matrix : Merge P8 &amp; P4 ==&gt; single link</t>
  </si>
  <si>
    <t>- Update distance Matrix : Merge P7 &amp; P2, P1 ==&gt; average link</t>
  </si>
  <si>
    <t>Step 5:</t>
  </si>
  <si>
    <t>- Update distance Matrix : Merge P9 &amp; P5 ==&gt; complete link</t>
  </si>
  <si>
    <t>- Update distance Matrix : Merge P9 &amp; P5 ==&gt; single link</t>
  </si>
  <si>
    <t>- Update distance Matrix : Merge P9 &amp; P5 ==&gt; average link</t>
  </si>
  <si>
    <t>P9, P5</t>
  </si>
  <si>
    <t>Step 6:</t>
  </si>
  <si>
    <t>- Update distance Matrix : Merge P9, P5 &amp; P3 ==&gt; complete link</t>
  </si>
  <si>
    <t>- Update distance Matrix : Merge P9, P5 &amp; P3 ==&gt; single link</t>
  </si>
  <si>
    <t>- Update distance Matrix : Merge P9, P5 &amp; P3 ==&gt; average link</t>
  </si>
  <si>
    <t>P9, P5, P3</t>
  </si>
  <si>
    <t>Step 7:</t>
  </si>
  <si>
    <t>- Update distance Matrix : Merge P8, P4 &amp; P6 ==&gt; complete link</t>
  </si>
  <si>
    <t>- Update distance Matrix : Merge P8, P4 &amp; P6 ==&gt; single link</t>
  </si>
  <si>
    <t>- Update distance Matrix : Merge P8, P4 &amp; P6 ==&gt; average link</t>
  </si>
  <si>
    <t>P8, P4, P6</t>
  </si>
  <si>
    <t>Step 8:</t>
  </si>
  <si>
    <t>- Update distance Matrix : Merge P10 &amp; P7, P2, P1 ==&gt; complete link</t>
  </si>
  <si>
    <t>- Update distance Matrix : Merge P10 &amp; P7, P2, P1 ==&gt; single link</t>
  </si>
  <si>
    <t>- Update distance Matrix : Merge P10 &amp; P9, P5, P3 ==&gt; average link</t>
  </si>
  <si>
    <t>P10, P7, P2, P1</t>
  </si>
  <si>
    <t>P10, P9, P5, P3</t>
  </si>
  <si>
    <t>Step 9:</t>
  </si>
  <si>
    <t>- Update distance Matrix : Merge P10, P7, P2, P1 &amp; P9, P5, P3 ==&gt; complete link</t>
  </si>
  <si>
    <t>- Update distance Matrix : Merge P10, P7, P2, P1 &amp; P9, P5, P3 ==&gt; single link</t>
  </si>
  <si>
    <t>- Update distance Matrix : Merge P10, P9, P5, P3 &amp; P7, P2, P1 ==&gt; average link</t>
  </si>
  <si>
    <t>P10, P7, P2, P1, P9, P5, P3</t>
  </si>
  <si>
    <t>P10, P9, P5, P3, P7, P2, P1</t>
  </si>
  <si>
    <t>Step 10: - Merge P10, P7, P2, P1, P9, P5, P3 &amp; P8, P4, P6 ==&gt; complete link — SELESAI</t>
  </si>
  <si>
    <t>Step 10: - Merge P10, P7, P2, P1, P9, P5, P3 &amp; P8, P4, P6 ==&gt; single link — SELESAI</t>
  </si>
  <si>
    <t>Step 10: - Merge P10, P9, P5, P3, P7, P2, P1 &amp; P8, P4, P6 ==&gt; average link — SELESAI</t>
  </si>
  <si>
    <t>Semua data tergabung dalam 1 cluster.</t>
  </si>
  <si>
    <t>Dendrogram – Complete Link</t>
  </si>
  <si>
    <t>Dendrogram – Single Link</t>
  </si>
  <si>
    <t>Dendrogram – Average Link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</si>
</sst>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charset val="1"/>
    </font>
    <font>
      <b/>
      <sz val="12"/>
      <name val="Arial"/>
      <family val="2"/>
    </font>
    <font>
      <b/>
      <sz val="11"/>
      <color rgb="FFFFFFFF"/>
      <name val="Arial"/>
      <family val="2"/>
    </font>
    <font>
      <b/>
      <sz val="11"/>
      <color rgb="FF000000"/>
      <name val="Arial"/>
      <family val="2"/>
    </font>
    <font>
      <sz val="11"/>
      <color rgb="FF000000"/>
      <name val="Arial"/>
      <family val="2"/>
    </font>
    <font>
      <b/>
      <sz val="11"/>
      <name val="Arial"/>
      <family val="2"/>
    </font>
    <font>
      <b/>
      <sz val="11"/>
      <color rgb="FF7F3F00"/>
      <name val="Arial"/>
      <family val="2"/>
    </font>
    <font>
      <b/>
      <sz val="11"/>
      <color rgb="FF1F4E79"/>
      <name val="Arial"/>
      <family val="2"/>
    </font>
    <font>
      <i/>
      <sz val="11"/>
      <name val="Arial"/>
      <family val="2"/>
    </font>
    <font>
      <b/>
      <sz val="12"/>
      <color rgb="FFFFFFFF"/>
      <name val="Calibri"/>
      <family val="2"/>
    </font>
  </fonts>
  <fills count="12">
    <fill>
      <patternFill patternType="none"/>
    </fill>
    <fill>
      <patternFill patternType="gray125"/>
    </fill>
    <fill>
      <patternFill patternType="solid">
        <fgColor rgb="FF4472C4"/>
        <bgColor rgb="FF666699"/>
      </patternFill>
    </fill>
    <fill>
      <patternFill patternType="solid">
        <fgColor rgb="FFD9E1F2"/>
        <bgColor rgb="FFBDD7EE"/>
      </patternFill>
    </fill>
    <fill>
      <patternFill patternType="solid">
        <fgColor rgb="FFBDD7EE"/>
        <bgColor rgb="FFD9E1F2"/>
      </patternFill>
    </fill>
    <fill>
      <patternFill patternType="solid">
        <fgColor rgb="FFFFE699"/>
        <bgColor rgb="FFFFCC99"/>
      </patternFill>
    </fill>
    <fill>
      <patternFill patternType="solid">
        <fgColor theme="5"/>
        <bgColor rgb="FF666699"/>
      </patternFill>
    </fill>
    <fill>
      <patternFill patternType="solid">
        <fgColor theme="5" tint="0.39997558519241921"/>
        <bgColor rgb="FFBDD7EE"/>
      </patternFill>
    </fill>
    <fill>
      <patternFill patternType="solid">
        <fgColor theme="5" tint="0.59999389629810485"/>
        <bgColor rgb="FFD9E1F2"/>
      </patternFill>
    </fill>
    <fill>
      <patternFill patternType="solid">
        <fgColor rgb="FF1565C0"/>
      </patternFill>
    </fill>
    <fill>
      <patternFill patternType="solid">
        <fgColor rgb="FF2E7D32"/>
      </patternFill>
    </fill>
    <fill>
      <patternFill patternType="solid">
        <fgColor rgb="FF6A1B9A"/>
      </patternFill>
    </fill>
  </fills>
  <borders count="2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2" fontId="3" fillId="4" borderId="1" xfId="0" applyNumberFormat="1" applyFont="1" applyFill="1" applyBorder="1" applyAlignment="1">
      <alignment horizontal="center" vertical="center"/>
    </xf>
    <xf numFmtId="2" fontId="4" fillId="0" borderId="1" xfId="0" applyNumberFormat="1" applyFont="1" applyBorder="1" applyAlignment="1">
      <alignment horizontal="center" vertical="center"/>
    </xf>
    <xf numFmtId="0" fontId="5" fillId="0" borderId="0" xfId="0" applyFont="1"/>
    <xf numFmtId="0" fontId="0" fillId="0" borderId="1" xfId="0" applyBorder="1"/>
    <xf numFmtId="2" fontId="6" fillId="5" borderId="1" xfId="0" applyNumberFormat="1" applyFont="1" applyFill="1" applyBorder="1" applyAlignment="1">
      <alignment horizontal="center" vertical="center"/>
    </xf>
    <xf numFmtId="2" fontId="3" fillId="3" borderId="1" xfId="0" applyNumberFormat="1" applyFont="1" applyFill="1" applyBorder="1" applyAlignment="1">
      <alignment horizontal="center" vertical="center"/>
    </xf>
    <xf numFmtId="2" fontId="4" fillId="4" borderId="1" xfId="0" applyNumberFormat="1" applyFont="1" applyFill="1" applyBorder="1" applyAlignment="1">
      <alignment horizontal="center" vertical="center"/>
    </xf>
    <xf numFmtId="0" fontId="7" fillId="0" borderId="0" xfId="0" applyFont="1"/>
    <xf numFmtId="0" fontId="8" fillId="0" borderId="0" xfId="0" applyFont="1"/>
    <xf numFmtId="0" fontId="2" fillId="6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2" fontId="3" fillId="8" borderId="1" xfId="0" applyNumberFormat="1" applyFont="1" applyFill="1" applyBorder="1" applyAlignment="1">
      <alignment horizontal="center" vertical="center"/>
    </xf>
    <xf numFmtId="0" fontId="9" fillId="9" borderId="0" xfId="0" applyFont="1" applyFill="1" applyAlignment="1">
      <alignment horizontal="center" vertical="center"/>
    </xf>
    <xf numFmtId="0" fontId="9" fillId="10" borderId="0" xfId="0" applyFont="1" applyFill="1" applyAlignment="1">
      <alignment horizontal="center" vertical="center"/>
    </xf>
    <xf numFmtId="0" fontId="9" fillId="11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9E1F2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E6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FF6600"/>
      <rgbColor rgb="FF666699"/>
      <rgbColor rgb="FF999999"/>
      <rgbColor rgb="FF003366"/>
      <rgbColor rgb="FF339966"/>
      <rgbColor rgb="FF003300"/>
      <rgbColor rgb="FF333300"/>
      <rgbColor rgb="FF7F3F00"/>
      <rgbColor rgb="FF993366"/>
      <rgbColor rgb="FF1F4E7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118</xdr:row>
      <xdr:rowOff>0</xdr:rowOff>
    </xdr:from>
    <xdr:ext cx="4095750" cy="24765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0</xdr:colOff>
      <xdr:row>118</xdr:row>
      <xdr:rowOff>0</xdr:rowOff>
    </xdr:from>
    <xdr:ext cx="4095750" cy="2476500"/>
    <xdr:pic>
      <xdr:nvPicPr>
        <xdr:cNvPr id="3" name="Image 2" descr="Picture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17</xdr:col>
      <xdr:colOff>0</xdr:colOff>
      <xdr:row>118</xdr:row>
      <xdr:rowOff>0</xdr:rowOff>
    </xdr:from>
    <xdr:ext cx="4095750" cy="2476500"/>
    <xdr:pic>
      <xdr:nvPicPr>
        <xdr:cNvPr id="4" name="Image 3" descr="Picture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AB118"/>
  <sheetViews>
    <sheetView tabSelected="1" topLeftCell="A106" zoomScaleNormal="100" workbookViewId="0">
      <selection activeCell="H9" sqref="H9"/>
    </sheetView>
  </sheetViews>
  <sheetFormatPr baseColWidth="10" defaultColWidth="8.6640625" defaultRowHeight="15" x14ac:dyDescent="0.2"/>
  <cols>
    <col min="1" max="1" width="3" customWidth="1"/>
    <col min="2" max="31" width="14" customWidth="1"/>
  </cols>
  <sheetData>
    <row r="2" spans="2:24" ht="16" customHeight="1" x14ac:dyDescent="0.2">
      <c r="B2" s="1" t="s">
        <v>0</v>
      </c>
    </row>
    <row r="3" spans="2:24" x14ac:dyDescent="0.2">
      <c r="B3" s="13"/>
      <c r="C3" s="13" t="s">
        <v>1</v>
      </c>
      <c r="D3" s="13" t="s">
        <v>2</v>
      </c>
      <c r="E3" s="13" t="s">
        <v>3</v>
      </c>
      <c r="F3" s="13" t="s">
        <v>4</v>
      </c>
      <c r="G3" s="13" t="s">
        <v>5</v>
      </c>
      <c r="H3" s="13" t="s">
        <v>6</v>
      </c>
      <c r="I3" s="13" t="s">
        <v>7</v>
      </c>
      <c r="J3" s="13" t="s">
        <v>8</v>
      </c>
      <c r="K3" s="13" t="s">
        <v>9</v>
      </c>
      <c r="L3" s="13" t="s">
        <v>10</v>
      </c>
      <c r="N3" s="2"/>
      <c r="O3" s="2" t="s">
        <v>1</v>
      </c>
      <c r="P3" s="2" t="s">
        <v>2</v>
      </c>
      <c r="Q3" s="2" t="s">
        <v>3</v>
      </c>
      <c r="R3" s="2" t="s">
        <v>4</v>
      </c>
      <c r="S3" s="2" t="s">
        <v>5</v>
      </c>
      <c r="T3" s="2" t="s">
        <v>6</v>
      </c>
      <c r="U3" s="2" t="s">
        <v>7</v>
      </c>
      <c r="V3" s="2" t="s">
        <v>8</v>
      </c>
      <c r="W3" s="2" t="s">
        <v>9</v>
      </c>
      <c r="X3" s="2" t="s">
        <v>10</v>
      </c>
    </row>
    <row r="4" spans="2:24" x14ac:dyDescent="0.2">
      <c r="B4" s="14" t="s">
        <v>1</v>
      </c>
      <c r="C4" s="15">
        <v>0</v>
      </c>
      <c r="D4" s="5">
        <v>1.41</v>
      </c>
      <c r="E4" s="5">
        <v>6.4</v>
      </c>
      <c r="F4" s="5">
        <v>7.28</v>
      </c>
      <c r="G4" s="5">
        <v>6.32</v>
      </c>
      <c r="H4" s="5">
        <v>9.85</v>
      </c>
      <c r="I4" s="5">
        <v>2</v>
      </c>
      <c r="J4" s="5">
        <v>8.06</v>
      </c>
      <c r="K4" s="5">
        <v>4.47</v>
      </c>
      <c r="L4" s="5">
        <v>4.47</v>
      </c>
      <c r="N4" s="3" t="s">
        <v>1</v>
      </c>
      <c r="O4" s="4">
        <v>0</v>
      </c>
      <c r="P4" s="5">
        <v>1.41</v>
      </c>
      <c r="Q4" s="5">
        <v>6.4</v>
      </c>
      <c r="R4" s="5">
        <v>7.28</v>
      </c>
      <c r="S4" s="5">
        <v>6.32</v>
      </c>
      <c r="T4" s="5">
        <v>9.85</v>
      </c>
      <c r="U4" s="5">
        <v>2</v>
      </c>
      <c r="V4" s="5">
        <v>8.06</v>
      </c>
      <c r="W4" s="5">
        <v>4.47</v>
      </c>
      <c r="X4" s="5">
        <v>4.47</v>
      </c>
    </row>
    <row r="5" spans="2:24" x14ac:dyDescent="0.2">
      <c r="B5" s="14" t="s">
        <v>2</v>
      </c>
      <c r="C5" s="5">
        <v>1.41</v>
      </c>
      <c r="D5" s="15">
        <v>0</v>
      </c>
      <c r="E5" s="5">
        <v>6.71</v>
      </c>
      <c r="F5" s="5">
        <v>6.71</v>
      </c>
      <c r="G5" s="5">
        <v>7.07</v>
      </c>
      <c r="H5" s="5">
        <v>9.43</v>
      </c>
      <c r="I5" s="5">
        <v>1.41</v>
      </c>
      <c r="J5" s="5">
        <v>7.28</v>
      </c>
      <c r="K5" s="5">
        <v>5.0999999999999996</v>
      </c>
      <c r="L5" s="5">
        <v>4.24</v>
      </c>
      <c r="N5" s="3" t="s">
        <v>2</v>
      </c>
      <c r="O5" s="5">
        <v>1.41</v>
      </c>
      <c r="P5" s="4">
        <v>0</v>
      </c>
      <c r="Q5" s="5">
        <v>6.71</v>
      </c>
      <c r="R5" s="5">
        <v>6.71</v>
      </c>
      <c r="S5" s="5">
        <v>7.07</v>
      </c>
      <c r="T5" s="5">
        <v>9.43</v>
      </c>
      <c r="U5" s="5">
        <v>1.41</v>
      </c>
      <c r="V5" s="5">
        <v>7.28</v>
      </c>
      <c r="W5" s="5">
        <v>5.0999999999999996</v>
      </c>
      <c r="X5" s="5">
        <v>4.24</v>
      </c>
    </row>
    <row r="6" spans="2:24" x14ac:dyDescent="0.2">
      <c r="B6" s="14" t="s">
        <v>3</v>
      </c>
      <c r="C6" s="5">
        <v>6.4</v>
      </c>
      <c r="D6" s="5">
        <v>6.71</v>
      </c>
      <c r="E6" s="15">
        <v>0</v>
      </c>
      <c r="F6" s="5">
        <v>4.24</v>
      </c>
      <c r="G6" s="5">
        <v>2.2400000000000002</v>
      </c>
      <c r="H6" s="5">
        <v>5.0999999999999996</v>
      </c>
      <c r="I6" s="5">
        <v>5.39</v>
      </c>
      <c r="J6" s="5">
        <v>5.66</v>
      </c>
      <c r="K6" s="5">
        <v>2.2400000000000002</v>
      </c>
      <c r="L6" s="5">
        <v>3</v>
      </c>
      <c r="N6" s="3" t="s">
        <v>3</v>
      </c>
      <c r="O6" s="5">
        <v>6.4</v>
      </c>
      <c r="P6" s="5">
        <v>6.71</v>
      </c>
      <c r="Q6" s="4">
        <v>0</v>
      </c>
      <c r="R6" s="5">
        <v>4.24</v>
      </c>
      <c r="S6" s="5">
        <v>2.2400000000000002</v>
      </c>
      <c r="T6" s="5">
        <v>5.0999999999999996</v>
      </c>
      <c r="U6" s="5">
        <v>5.39</v>
      </c>
      <c r="V6" s="5">
        <v>5.66</v>
      </c>
      <c r="W6" s="5">
        <v>2.2400000000000002</v>
      </c>
      <c r="X6" s="5">
        <v>3</v>
      </c>
    </row>
    <row r="7" spans="2:24" x14ac:dyDescent="0.2">
      <c r="B7" s="14" t="s">
        <v>4</v>
      </c>
      <c r="C7" s="5">
        <v>7.28</v>
      </c>
      <c r="D7" s="5">
        <v>6.71</v>
      </c>
      <c r="E7" s="5">
        <v>4.24</v>
      </c>
      <c r="F7" s="15">
        <v>0</v>
      </c>
      <c r="G7" s="5">
        <v>6.4</v>
      </c>
      <c r="H7" s="5">
        <v>2.83</v>
      </c>
      <c r="I7" s="5">
        <v>5.39</v>
      </c>
      <c r="J7" s="5">
        <v>1.41</v>
      </c>
      <c r="K7" s="5">
        <v>5.39</v>
      </c>
      <c r="L7" s="5">
        <v>3</v>
      </c>
      <c r="N7" s="3" t="s">
        <v>4</v>
      </c>
      <c r="O7" s="5">
        <v>7.28</v>
      </c>
      <c r="P7" s="5">
        <v>6.71</v>
      </c>
      <c r="Q7" s="5">
        <v>4.24</v>
      </c>
      <c r="R7" s="4">
        <v>0</v>
      </c>
      <c r="S7" s="5">
        <v>6.4</v>
      </c>
      <c r="T7" s="5">
        <v>2.83</v>
      </c>
      <c r="U7" s="5">
        <v>5.39</v>
      </c>
      <c r="V7" s="5">
        <v>1.41</v>
      </c>
      <c r="W7" s="5">
        <v>5.39</v>
      </c>
      <c r="X7" s="5">
        <v>3</v>
      </c>
    </row>
    <row r="8" spans="2:24" x14ac:dyDescent="0.2">
      <c r="B8" s="14" t="s">
        <v>5</v>
      </c>
      <c r="C8" s="5">
        <v>6.32</v>
      </c>
      <c r="D8" s="5">
        <v>7.07</v>
      </c>
      <c r="E8" s="5">
        <v>2.2400000000000002</v>
      </c>
      <c r="F8" s="5">
        <v>6.4</v>
      </c>
      <c r="G8" s="15">
        <v>0</v>
      </c>
      <c r="H8" s="5">
        <v>7.28</v>
      </c>
      <c r="I8" s="5">
        <v>6</v>
      </c>
      <c r="J8" s="5">
        <v>7.81</v>
      </c>
      <c r="K8" s="5">
        <v>2</v>
      </c>
      <c r="L8" s="5">
        <v>4.47</v>
      </c>
      <c r="N8" s="3" t="s">
        <v>5</v>
      </c>
      <c r="O8" s="5">
        <v>6.32</v>
      </c>
      <c r="P8" s="5">
        <v>7.07</v>
      </c>
      <c r="Q8" s="5">
        <v>2.2400000000000002</v>
      </c>
      <c r="R8" s="5">
        <v>6.4</v>
      </c>
      <c r="S8" s="4">
        <v>0</v>
      </c>
      <c r="T8" s="5">
        <v>7.28</v>
      </c>
      <c r="U8" s="5">
        <v>6</v>
      </c>
      <c r="V8" s="5">
        <v>7.81</v>
      </c>
      <c r="W8" s="5">
        <v>2</v>
      </c>
      <c r="X8" s="5">
        <v>4.47</v>
      </c>
    </row>
    <row r="9" spans="2:24" x14ac:dyDescent="0.2">
      <c r="B9" s="14" t="s">
        <v>6</v>
      </c>
      <c r="C9" s="5">
        <v>9.85</v>
      </c>
      <c r="D9" s="5">
        <v>9.43</v>
      </c>
      <c r="E9" s="5">
        <v>5.0999999999999996</v>
      </c>
      <c r="F9" s="5">
        <v>2.83</v>
      </c>
      <c r="G9" s="5">
        <v>7.28</v>
      </c>
      <c r="H9" s="4">
        <v>0</v>
      </c>
      <c r="I9" s="5">
        <v>8.06</v>
      </c>
      <c r="J9" s="5">
        <v>3.16</v>
      </c>
      <c r="K9" s="5">
        <v>7</v>
      </c>
      <c r="L9" s="5">
        <v>5.39</v>
      </c>
      <c r="N9" s="3" t="s">
        <v>6</v>
      </c>
      <c r="O9" s="5">
        <v>9.85</v>
      </c>
      <c r="P9" s="5">
        <v>9.43</v>
      </c>
      <c r="Q9" s="5">
        <v>5.0999999999999996</v>
      </c>
      <c r="R9" s="5">
        <v>2.83</v>
      </c>
      <c r="S9" s="5">
        <v>7.28</v>
      </c>
      <c r="T9" s="4">
        <v>0</v>
      </c>
      <c r="U9" s="5">
        <v>8.06</v>
      </c>
      <c r="V9" s="5">
        <v>3.16</v>
      </c>
      <c r="W9" s="5">
        <v>7</v>
      </c>
      <c r="X9" s="5">
        <v>5.39</v>
      </c>
    </row>
    <row r="10" spans="2:24" x14ac:dyDescent="0.2">
      <c r="B10" s="14" t="s">
        <v>7</v>
      </c>
      <c r="C10" s="5">
        <v>2</v>
      </c>
      <c r="D10" s="5">
        <v>1.41</v>
      </c>
      <c r="E10" s="5">
        <v>5.39</v>
      </c>
      <c r="F10" s="5">
        <v>5.39</v>
      </c>
      <c r="G10" s="5">
        <v>6</v>
      </c>
      <c r="H10" s="5">
        <v>8.06</v>
      </c>
      <c r="I10" s="4">
        <v>0</v>
      </c>
      <c r="J10" s="5">
        <v>6.08</v>
      </c>
      <c r="K10" s="5">
        <v>4</v>
      </c>
      <c r="L10" s="5">
        <v>2.83</v>
      </c>
      <c r="N10" s="3" t="s">
        <v>7</v>
      </c>
      <c r="O10" s="5">
        <v>2</v>
      </c>
      <c r="P10" s="5">
        <v>1.41</v>
      </c>
      <c r="Q10" s="5">
        <v>5.39</v>
      </c>
      <c r="R10" s="5">
        <v>5.39</v>
      </c>
      <c r="S10" s="5">
        <v>6</v>
      </c>
      <c r="T10" s="5">
        <v>8.06</v>
      </c>
      <c r="U10" s="4">
        <v>0</v>
      </c>
      <c r="V10" s="5">
        <v>6.08</v>
      </c>
      <c r="W10" s="5">
        <v>4</v>
      </c>
      <c r="X10" s="5">
        <v>2.83</v>
      </c>
    </row>
    <row r="11" spans="2:24" x14ac:dyDescent="0.2">
      <c r="B11" s="14" t="s">
        <v>8</v>
      </c>
      <c r="C11" s="5">
        <v>8.06</v>
      </c>
      <c r="D11" s="5">
        <v>7.28</v>
      </c>
      <c r="E11" s="5">
        <v>5.66</v>
      </c>
      <c r="F11" s="5">
        <v>1.41</v>
      </c>
      <c r="G11" s="5">
        <v>7.81</v>
      </c>
      <c r="H11" s="5">
        <v>3.16</v>
      </c>
      <c r="I11" s="5">
        <v>6.08</v>
      </c>
      <c r="J11" s="4">
        <v>0</v>
      </c>
      <c r="K11" s="5">
        <v>6.71</v>
      </c>
      <c r="L11" s="5">
        <v>4.12</v>
      </c>
      <c r="N11" s="3" t="s">
        <v>8</v>
      </c>
      <c r="O11" s="5">
        <v>8.06</v>
      </c>
      <c r="P11" s="5">
        <v>7.28</v>
      </c>
      <c r="Q11" s="5">
        <v>5.66</v>
      </c>
      <c r="R11" s="5">
        <v>1.41</v>
      </c>
      <c r="S11" s="5">
        <v>7.81</v>
      </c>
      <c r="T11" s="5">
        <v>3.16</v>
      </c>
      <c r="U11" s="5">
        <v>6.08</v>
      </c>
      <c r="V11" s="4">
        <v>0</v>
      </c>
      <c r="W11" s="5">
        <v>6.71</v>
      </c>
      <c r="X11" s="5">
        <v>4.12</v>
      </c>
    </row>
    <row r="12" spans="2:24" x14ac:dyDescent="0.2">
      <c r="B12" s="14" t="s">
        <v>9</v>
      </c>
      <c r="C12" s="5">
        <v>4.47</v>
      </c>
      <c r="D12" s="5">
        <v>5.0999999999999996</v>
      </c>
      <c r="E12" s="5">
        <v>2.2400000000000002</v>
      </c>
      <c r="F12" s="5">
        <v>5.39</v>
      </c>
      <c r="G12" s="5">
        <v>2</v>
      </c>
      <c r="H12" s="5">
        <v>7</v>
      </c>
      <c r="I12" s="5">
        <v>4</v>
      </c>
      <c r="J12" s="5">
        <v>6.71</v>
      </c>
      <c r="K12" s="4">
        <v>0</v>
      </c>
      <c r="L12" s="5">
        <v>2.83</v>
      </c>
      <c r="N12" s="3" t="s">
        <v>9</v>
      </c>
      <c r="O12" s="5">
        <v>4.47</v>
      </c>
      <c r="P12" s="5">
        <v>5.0999999999999996</v>
      </c>
      <c r="Q12" s="5">
        <v>2.2400000000000002</v>
      </c>
      <c r="R12" s="5">
        <v>5.39</v>
      </c>
      <c r="S12" s="5">
        <v>2</v>
      </c>
      <c r="T12" s="5">
        <v>7</v>
      </c>
      <c r="U12" s="5">
        <v>4</v>
      </c>
      <c r="V12" s="5">
        <v>6.71</v>
      </c>
      <c r="W12" s="4">
        <v>0</v>
      </c>
      <c r="X12" s="5">
        <v>2.83</v>
      </c>
    </row>
    <row r="13" spans="2:24" x14ac:dyDescent="0.2">
      <c r="B13" s="14" t="s">
        <v>10</v>
      </c>
      <c r="C13" s="5">
        <v>4.47</v>
      </c>
      <c r="D13" s="5">
        <v>4.24</v>
      </c>
      <c r="E13" s="5">
        <v>3</v>
      </c>
      <c r="F13" s="5">
        <v>3</v>
      </c>
      <c r="G13" s="5">
        <v>4.47</v>
      </c>
      <c r="H13" s="5">
        <v>5.39</v>
      </c>
      <c r="I13" s="5">
        <v>2.83</v>
      </c>
      <c r="J13" s="5">
        <v>4.12</v>
      </c>
      <c r="K13" s="5">
        <v>2.83</v>
      </c>
      <c r="L13" s="4">
        <v>0</v>
      </c>
      <c r="N13" s="3" t="s">
        <v>10</v>
      </c>
      <c r="O13" s="5">
        <v>4.47</v>
      </c>
      <c r="P13" s="5">
        <v>4.24</v>
      </c>
      <c r="Q13" s="5">
        <v>3</v>
      </c>
      <c r="R13" s="5">
        <v>3</v>
      </c>
      <c r="S13" s="5">
        <v>4.47</v>
      </c>
      <c r="T13" s="5">
        <v>5.39</v>
      </c>
      <c r="U13" s="5">
        <v>2.83</v>
      </c>
      <c r="V13" s="5">
        <v>4.12</v>
      </c>
      <c r="W13" s="5">
        <v>2.83</v>
      </c>
      <c r="X13" s="4">
        <v>0</v>
      </c>
    </row>
    <row r="16" spans="2:24" x14ac:dyDescent="0.2">
      <c r="B16" s="6" t="s">
        <v>11</v>
      </c>
      <c r="J16" s="6" t="s">
        <v>11</v>
      </c>
      <c r="R16" s="6" t="s">
        <v>11</v>
      </c>
    </row>
    <row r="17" spans="2:28" x14ac:dyDescent="0.2">
      <c r="B17" s="6" t="s">
        <v>12</v>
      </c>
      <c r="J17" s="6" t="s">
        <v>12</v>
      </c>
      <c r="R17" s="6" t="s">
        <v>12</v>
      </c>
    </row>
    <row r="19" spans="2:28" x14ac:dyDescent="0.2">
      <c r="B19" s="2" t="s">
        <v>13</v>
      </c>
      <c r="C19" s="2" t="s">
        <v>1</v>
      </c>
      <c r="D19" s="2" t="s">
        <v>2</v>
      </c>
      <c r="E19" s="2" t="s">
        <v>3</v>
      </c>
      <c r="F19" s="2" t="s">
        <v>4</v>
      </c>
      <c r="G19" s="2" t="s">
        <v>5</v>
      </c>
      <c r="H19" s="2" t="s">
        <v>6</v>
      </c>
      <c r="I19" s="2" t="s">
        <v>7</v>
      </c>
      <c r="J19" s="2" t="s">
        <v>13</v>
      </c>
      <c r="K19" s="2" t="s">
        <v>1</v>
      </c>
      <c r="L19" s="2" t="s">
        <v>2</v>
      </c>
      <c r="M19" s="2" t="s">
        <v>3</v>
      </c>
      <c r="N19" s="2" t="s">
        <v>4</v>
      </c>
      <c r="O19" s="2" t="s">
        <v>5</v>
      </c>
      <c r="P19" s="2" t="s">
        <v>6</v>
      </c>
      <c r="Q19" s="2" t="s">
        <v>7</v>
      </c>
      <c r="R19" s="2" t="s">
        <v>13</v>
      </c>
      <c r="S19" s="2" t="s">
        <v>1</v>
      </c>
      <c r="T19" s="2" t="s">
        <v>2</v>
      </c>
      <c r="U19" s="2" t="s">
        <v>3</v>
      </c>
      <c r="V19" s="2" t="s">
        <v>4</v>
      </c>
      <c r="W19" s="2" t="s">
        <v>5</v>
      </c>
      <c r="X19" s="2" t="s">
        <v>6</v>
      </c>
      <c r="Y19" s="2" t="s">
        <v>7</v>
      </c>
      <c r="Z19" s="2" t="s">
        <v>8</v>
      </c>
      <c r="AA19" s="2" t="s">
        <v>9</v>
      </c>
      <c r="AB19" s="2" t="s">
        <v>10</v>
      </c>
    </row>
    <row r="20" spans="2:28" x14ac:dyDescent="0.2">
      <c r="B20" s="3" t="s">
        <v>1</v>
      </c>
      <c r="C20" s="4">
        <v>0</v>
      </c>
      <c r="D20" s="7"/>
      <c r="E20" s="7"/>
      <c r="F20" s="7"/>
      <c r="G20" s="7"/>
      <c r="H20" s="7"/>
      <c r="I20" s="7"/>
      <c r="J20" s="3" t="s">
        <v>1</v>
      </c>
      <c r="K20" s="4">
        <v>0</v>
      </c>
      <c r="L20" s="7"/>
      <c r="M20" s="7"/>
      <c r="N20" s="7"/>
      <c r="O20" s="7"/>
      <c r="P20" s="7"/>
      <c r="Q20" s="7"/>
      <c r="R20" s="3" t="s">
        <v>1</v>
      </c>
      <c r="S20" s="4">
        <v>0</v>
      </c>
      <c r="T20" s="7"/>
      <c r="U20" s="7"/>
      <c r="V20" s="7"/>
      <c r="W20" s="7"/>
      <c r="X20" s="7"/>
      <c r="Y20" s="7"/>
      <c r="Z20" s="7"/>
      <c r="AA20" s="7"/>
      <c r="AB20" s="7"/>
    </row>
    <row r="21" spans="2:28" x14ac:dyDescent="0.2">
      <c r="B21" s="3" t="s">
        <v>2</v>
      </c>
      <c r="C21" s="8">
        <f>$C$5</f>
        <v>1.41</v>
      </c>
      <c r="D21" s="4">
        <v>0</v>
      </c>
      <c r="E21" s="7"/>
      <c r="F21" s="7"/>
      <c r="G21" s="7"/>
      <c r="H21" s="7"/>
      <c r="I21" s="7"/>
      <c r="J21" s="3" t="s">
        <v>2</v>
      </c>
      <c r="K21" s="8">
        <f>$C$5</f>
        <v>1.41</v>
      </c>
      <c r="L21" s="4">
        <v>0</v>
      </c>
      <c r="M21" s="7"/>
      <c r="N21" s="7"/>
      <c r="O21" s="7"/>
      <c r="P21" s="7"/>
      <c r="Q21" s="7"/>
      <c r="R21" s="3" t="s">
        <v>2</v>
      </c>
      <c r="S21" s="8">
        <f>$C$5</f>
        <v>1.41</v>
      </c>
      <c r="T21" s="4">
        <v>0</v>
      </c>
      <c r="U21" s="7"/>
      <c r="V21" s="7"/>
      <c r="W21" s="7"/>
      <c r="X21" s="7"/>
      <c r="Y21" s="7"/>
      <c r="Z21" s="7"/>
      <c r="AA21" s="7"/>
      <c r="AB21" s="7"/>
    </row>
    <row r="22" spans="2:28" x14ac:dyDescent="0.2">
      <c r="B22" s="3" t="s">
        <v>3</v>
      </c>
      <c r="C22" s="5">
        <f>$C$6</f>
        <v>6.4</v>
      </c>
      <c r="D22" s="5">
        <f>$D$6</f>
        <v>6.71</v>
      </c>
      <c r="E22" s="4">
        <v>0</v>
      </c>
      <c r="F22" s="7"/>
      <c r="G22" s="7"/>
      <c r="H22" s="7"/>
      <c r="I22" s="7"/>
      <c r="J22" s="3" t="s">
        <v>3</v>
      </c>
      <c r="K22" s="5">
        <f>$C$6</f>
        <v>6.4</v>
      </c>
      <c r="L22" s="5">
        <f>$D$6</f>
        <v>6.71</v>
      </c>
      <c r="M22" s="4">
        <v>0</v>
      </c>
      <c r="N22" s="7"/>
      <c r="O22" s="7"/>
      <c r="P22" s="7"/>
      <c r="Q22" s="7"/>
      <c r="R22" s="3" t="s">
        <v>3</v>
      </c>
      <c r="S22" s="5">
        <f>$C$6</f>
        <v>6.4</v>
      </c>
      <c r="T22" s="5">
        <f>$D$6</f>
        <v>6.71</v>
      </c>
      <c r="U22" s="4">
        <v>0</v>
      </c>
      <c r="V22" s="7"/>
      <c r="W22" s="7"/>
      <c r="X22" s="7"/>
      <c r="Y22" s="7"/>
      <c r="Z22" s="7"/>
      <c r="AA22" s="7"/>
      <c r="AB22" s="7"/>
    </row>
    <row r="23" spans="2:28" x14ac:dyDescent="0.2">
      <c r="B23" s="3" t="s">
        <v>4</v>
      </c>
      <c r="C23" s="5">
        <f>$C$7</f>
        <v>7.28</v>
      </c>
      <c r="D23" s="5">
        <f>$D$7</f>
        <v>6.71</v>
      </c>
      <c r="E23" s="5">
        <f>$E$7</f>
        <v>4.24</v>
      </c>
      <c r="F23" s="4">
        <v>0</v>
      </c>
      <c r="G23" s="7"/>
      <c r="H23" s="7"/>
      <c r="I23" s="7"/>
      <c r="J23" s="3" t="s">
        <v>4</v>
      </c>
      <c r="K23" s="5">
        <f>$C$7</f>
        <v>7.28</v>
      </c>
      <c r="L23" s="5">
        <f>$D$7</f>
        <v>6.71</v>
      </c>
      <c r="M23" s="5">
        <f>$E$7</f>
        <v>4.24</v>
      </c>
      <c r="N23" s="4">
        <v>0</v>
      </c>
      <c r="O23" s="7"/>
      <c r="P23" s="7"/>
      <c r="Q23" s="7"/>
      <c r="R23" s="3" t="s">
        <v>4</v>
      </c>
      <c r="S23" s="5">
        <f>$C$7</f>
        <v>7.28</v>
      </c>
      <c r="T23" s="5">
        <f>$D$7</f>
        <v>6.71</v>
      </c>
      <c r="U23" s="5">
        <f>$E$7</f>
        <v>4.24</v>
      </c>
      <c r="V23" s="4">
        <v>0</v>
      </c>
      <c r="W23" s="7"/>
      <c r="X23" s="7"/>
      <c r="Y23" s="7"/>
      <c r="Z23" s="7"/>
      <c r="AA23" s="7"/>
      <c r="AB23" s="7"/>
    </row>
    <row r="24" spans="2:28" x14ac:dyDescent="0.2">
      <c r="B24" s="3" t="s">
        <v>5</v>
      </c>
      <c r="C24" s="5">
        <f>$C$8</f>
        <v>6.32</v>
      </c>
      <c r="D24" s="5">
        <f>$D$8</f>
        <v>7.07</v>
      </c>
      <c r="E24" s="5">
        <f>$E$8</f>
        <v>2.2400000000000002</v>
      </c>
      <c r="F24" s="5">
        <f>$F$8</f>
        <v>6.4</v>
      </c>
      <c r="G24" s="4">
        <v>0</v>
      </c>
      <c r="H24" s="7"/>
      <c r="I24" s="7"/>
      <c r="J24" s="3" t="s">
        <v>5</v>
      </c>
      <c r="K24" s="5">
        <f>$C$8</f>
        <v>6.32</v>
      </c>
      <c r="L24" s="5">
        <f>$D$8</f>
        <v>7.07</v>
      </c>
      <c r="M24" s="5">
        <f>$E$8</f>
        <v>2.2400000000000002</v>
      </c>
      <c r="N24" s="5">
        <f>$F$8</f>
        <v>6.4</v>
      </c>
      <c r="O24" s="4">
        <v>0</v>
      </c>
      <c r="P24" s="7"/>
      <c r="Q24" s="7"/>
      <c r="R24" s="3" t="s">
        <v>5</v>
      </c>
      <c r="S24" s="5">
        <f>$C$8</f>
        <v>6.32</v>
      </c>
      <c r="T24" s="5">
        <f>$D$8</f>
        <v>7.07</v>
      </c>
      <c r="U24" s="5">
        <f>$E$8</f>
        <v>2.2400000000000002</v>
      </c>
      <c r="V24" s="5">
        <f>$F$8</f>
        <v>6.4</v>
      </c>
      <c r="W24" s="4">
        <v>0</v>
      </c>
      <c r="X24" s="7"/>
      <c r="Y24" s="7"/>
      <c r="Z24" s="7"/>
      <c r="AA24" s="7"/>
      <c r="AB24" s="7"/>
    </row>
    <row r="25" spans="2:28" x14ac:dyDescent="0.2">
      <c r="B25" s="3" t="s">
        <v>6</v>
      </c>
      <c r="C25" s="5">
        <f>$C$9</f>
        <v>9.85</v>
      </c>
      <c r="D25" s="5">
        <f>$D$9</f>
        <v>9.43</v>
      </c>
      <c r="E25" s="5">
        <f>$E$9</f>
        <v>5.0999999999999996</v>
      </c>
      <c r="F25" s="5">
        <f>$F$9</f>
        <v>2.83</v>
      </c>
      <c r="G25" s="5">
        <f>$G$9</f>
        <v>7.28</v>
      </c>
      <c r="H25" s="4">
        <v>0</v>
      </c>
      <c r="I25" s="7"/>
      <c r="J25" s="3" t="s">
        <v>6</v>
      </c>
      <c r="K25" s="5">
        <f>$C$9</f>
        <v>9.85</v>
      </c>
      <c r="L25" s="5">
        <f>$D$9</f>
        <v>9.43</v>
      </c>
      <c r="M25" s="5">
        <f>$E$9</f>
        <v>5.0999999999999996</v>
      </c>
      <c r="N25" s="5">
        <f>$F$9</f>
        <v>2.83</v>
      </c>
      <c r="O25" s="5">
        <f>$G$9</f>
        <v>7.28</v>
      </c>
      <c r="P25" s="4">
        <v>0</v>
      </c>
      <c r="Q25" s="7"/>
      <c r="R25" s="3" t="s">
        <v>6</v>
      </c>
      <c r="S25" s="5">
        <f>$C$9</f>
        <v>9.85</v>
      </c>
      <c r="T25" s="5">
        <f>$D$9</f>
        <v>9.43</v>
      </c>
      <c r="U25" s="5">
        <f>$E$9</f>
        <v>5.0999999999999996</v>
      </c>
      <c r="V25" s="5">
        <f>$F$9</f>
        <v>2.83</v>
      </c>
      <c r="W25" s="5">
        <f>$G$9</f>
        <v>7.28</v>
      </c>
      <c r="X25" s="4">
        <v>0</v>
      </c>
      <c r="Y25" s="7"/>
      <c r="Z25" s="7"/>
      <c r="AA25" s="7"/>
      <c r="AB25" s="7"/>
    </row>
    <row r="26" spans="2:28" x14ac:dyDescent="0.2">
      <c r="B26" s="3" t="s">
        <v>7</v>
      </c>
      <c r="C26" s="5">
        <f>$C$10</f>
        <v>2</v>
      </c>
      <c r="D26" s="5">
        <f>$D$10</f>
        <v>1.41</v>
      </c>
      <c r="E26" s="5">
        <f>$E$10</f>
        <v>5.39</v>
      </c>
      <c r="F26" s="5">
        <f>$F$10</f>
        <v>5.39</v>
      </c>
      <c r="G26" s="5">
        <f>$G$10</f>
        <v>6</v>
      </c>
      <c r="H26" s="5">
        <f>$H$10</f>
        <v>8.06</v>
      </c>
      <c r="I26" s="4">
        <v>0</v>
      </c>
      <c r="J26" s="3" t="s">
        <v>7</v>
      </c>
      <c r="K26" s="5">
        <f>$C$10</f>
        <v>2</v>
      </c>
      <c r="L26" s="5">
        <f>$D$10</f>
        <v>1.41</v>
      </c>
      <c r="M26" s="5">
        <f>$E$10</f>
        <v>5.39</v>
      </c>
      <c r="N26" s="5">
        <f>$F$10</f>
        <v>5.39</v>
      </c>
      <c r="O26" s="5">
        <f>$G$10</f>
        <v>6</v>
      </c>
      <c r="P26" s="5">
        <f>$H$10</f>
        <v>8.06</v>
      </c>
      <c r="Q26" s="4">
        <v>0</v>
      </c>
      <c r="R26" s="3" t="s">
        <v>7</v>
      </c>
      <c r="S26" s="5">
        <f>$C$10</f>
        <v>2</v>
      </c>
      <c r="T26" s="5">
        <f>$D$10</f>
        <v>1.41</v>
      </c>
      <c r="U26" s="5">
        <f>$E$10</f>
        <v>5.39</v>
      </c>
      <c r="V26" s="5">
        <f>$F$10</f>
        <v>5.39</v>
      </c>
      <c r="W26" s="5">
        <f>$G$10</f>
        <v>6</v>
      </c>
      <c r="X26" s="5">
        <f>$H$10</f>
        <v>8.06</v>
      </c>
      <c r="Y26" s="4">
        <v>0</v>
      </c>
      <c r="Z26" s="7"/>
      <c r="AA26" s="7"/>
      <c r="AB26" s="7"/>
    </row>
    <row r="27" spans="2:28" x14ac:dyDescent="0.2">
      <c r="B27" s="3" t="s">
        <v>8</v>
      </c>
      <c r="C27" s="5">
        <f>$C$11</f>
        <v>8.06</v>
      </c>
      <c r="D27" s="5">
        <f>$D$11</f>
        <v>7.28</v>
      </c>
      <c r="E27" s="5">
        <f>$E$11</f>
        <v>5.66</v>
      </c>
      <c r="F27" s="5">
        <f>$F$11</f>
        <v>1.41</v>
      </c>
      <c r="G27" s="5">
        <f>$G$11</f>
        <v>7.81</v>
      </c>
      <c r="H27" s="5">
        <f>$H$11</f>
        <v>3.16</v>
      </c>
      <c r="I27" s="5">
        <f>$I$11</f>
        <v>6.08</v>
      </c>
      <c r="J27" s="9" t="s">
        <v>8</v>
      </c>
      <c r="K27" s="5">
        <f>$C$11</f>
        <v>8.06</v>
      </c>
      <c r="L27" s="5">
        <f>$D$11</f>
        <v>7.28</v>
      </c>
      <c r="M27" s="5">
        <f>$E$11</f>
        <v>5.66</v>
      </c>
      <c r="N27" s="5">
        <f>$F$11</f>
        <v>1.41</v>
      </c>
      <c r="O27" s="5">
        <f>$G$11</f>
        <v>7.81</v>
      </c>
      <c r="P27" s="5">
        <f>$H$11</f>
        <v>3.16</v>
      </c>
      <c r="Q27" s="5">
        <f>$I$11</f>
        <v>6.08</v>
      </c>
      <c r="R27" s="9" t="s">
        <v>8</v>
      </c>
      <c r="S27" s="5">
        <f>$C$11</f>
        <v>8.06</v>
      </c>
      <c r="T27" s="5">
        <f>$D$11</f>
        <v>7.28</v>
      </c>
      <c r="U27" s="5">
        <f>$E$11</f>
        <v>5.66</v>
      </c>
      <c r="V27" s="5">
        <f>$F$11</f>
        <v>1.41</v>
      </c>
      <c r="W27" s="5">
        <f>$G$11</f>
        <v>7.81</v>
      </c>
      <c r="X27" s="5">
        <f>$H$11</f>
        <v>3.16</v>
      </c>
      <c r="Y27" s="5">
        <f>$I$11</f>
        <v>6.08</v>
      </c>
      <c r="Z27" s="4">
        <v>0</v>
      </c>
      <c r="AA27" s="7"/>
      <c r="AB27" s="7"/>
    </row>
    <row r="28" spans="2:28" x14ac:dyDescent="0.2">
      <c r="B28" s="3" t="s">
        <v>9</v>
      </c>
      <c r="C28" s="5">
        <f>$C$12</f>
        <v>4.47</v>
      </c>
      <c r="D28" s="5">
        <f>$D$12</f>
        <v>5.0999999999999996</v>
      </c>
      <c r="E28" s="5">
        <f>$E$12</f>
        <v>2.2400000000000002</v>
      </c>
      <c r="F28" s="5">
        <f>$F$12</f>
        <v>5.39</v>
      </c>
      <c r="G28" s="5">
        <f>$G$12</f>
        <v>2</v>
      </c>
      <c r="H28" s="5">
        <f>$H$12</f>
        <v>7</v>
      </c>
      <c r="I28" s="5">
        <f>$I$12</f>
        <v>4</v>
      </c>
      <c r="J28" s="9" t="s">
        <v>9</v>
      </c>
      <c r="K28" s="10">
        <f>$C$12</f>
        <v>4.47</v>
      </c>
      <c r="L28" s="5">
        <f>$D$12</f>
        <v>5.0999999999999996</v>
      </c>
      <c r="M28" s="5">
        <f>$E$12</f>
        <v>2.2400000000000002</v>
      </c>
      <c r="N28" s="5">
        <f>$F$12</f>
        <v>5.39</v>
      </c>
      <c r="O28" s="5">
        <f>$G$12</f>
        <v>2</v>
      </c>
      <c r="P28" s="5">
        <f>$H$12</f>
        <v>7</v>
      </c>
      <c r="Q28" s="5">
        <f>$I$12</f>
        <v>4</v>
      </c>
      <c r="R28" s="9" t="s">
        <v>9</v>
      </c>
      <c r="S28" s="10">
        <f>$C$12</f>
        <v>4.47</v>
      </c>
      <c r="T28" s="5">
        <f>$D$12</f>
        <v>5.0999999999999996</v>
      </c>
      <c r="U28" s="5">
        <f>$E$12</f>
        <v>2.2400000000000002</v>
      </c>
      <c r="V28" s="5">
        <f>$F$12</f>
        <v>5.39</v>
      </c>
      <c r="W28" s="5">
        <f>$G$12</f>
        <v>2</v>
      </c>
      <c r="X28" s="5">
        <f>$H$12</f>
        <v>7</v>
      </c>
      <c r="Y28" s="5">
        <f>$I$12</f>
        <v>4</v>
      </c>
      <c r="Z28" s="5">
        <f>$J$12</f>
        <v>6.71</v>
      </c>
      <c r="AA28" s="4">
        <v>0</v>
      </c>
      <c r="AB28" s="7"/>
    </row>
    <row r="29" spans="2:28" x14ac:dyDescent="0.2">
      <c r="B29" s="3" t="s">
        <v>10</v>
      </c>
      <c r="C29" s="5">
        <f>$C$13</f>
        <v>4.47</v>
      </c>
      <c r="D29" s="5">
        <f>$D$13</f>
        <v>4.24</v>
      </c>
      <c r="E29" s="5">
        <f>$E$13</f>
        <v>3</v>
      </c>
      <c r="F29" s="5">
        <f>$F$13</f>
        <v>3</v>
      </c>
      <c r="G29" s="5">
        <f>$G$13</f>
        <v>4.47</v>
      </c>
      <c r="H29" s="5">
        <f>$H$13</f>
        <v>5.39</v>
      </c>
      <c r="I29" s="5">
        <f>$I$13</f>
        <v>2.83</v>
      </c>
      <c r="J29" s="9" t="s">
        <v>10</v>
      </c>
      <c r="K29" s="5">
        <f>$C$13</f>
        <v>4.47</v>
      </c>
      <c r="L29" s="10">
        <f>$D$13</f>
        <v>4.24</v>
      </c>
      <c r="M29" s="5">
        <f>$E$13</f>
        <v>3</v>
      </c>
      <c r="N29" s="5">
        <f>$F$13</f>
        <v>3</v>
      </c>
      <c r="O29" s="5">
        <f>$G$13</f>
        <v>4.47</v>
      </c>
      <c r="P29" s="5">
        <f>$H$13</f>
        <v>5.39</v>
      </c>
      <c r="Q29" s="5">
        <f>$I$13</f>
        <v>2.83</v>
      </c>
      <c r="R29" s="9" t="s">
        <v>10</v>
      </c>
      <c r="S29" s="5">
        <f>$C$13</f>
        <v>4.47</v>
      </c>
      <c r="T29" s="10">
        <f>$D$13</f>
        <v>4.24</v>
      </c>
      <c r="U29" s="5">
        <f>$E$13</f>
        <v>3</v>
      </c>
      <c r="V29" s="5">
        <f>$F$13</f>
        <v>3</v>
      </c>
      <c r="W29" s="5">
        <f>$G$13</f>
        <v>4.47</v>
      </c>
      <c r="X29" s="5">
        <f>$H$13</f>
        <v>5.39</v>
      </c>
      <c r="Y29" s="5">
        <f>$I$13</f>
        <v>2.83</v>
      </c>
      <c r="Z29" s="5">
        <f>$J$13</f>
        <v>4.12</v>
      </c>
      <c r="AA29" s="5">
        <f>$K$13</f>
        <v>2.83</v>
      </c>
      <c r="AB29" s="4">
        <v>0</v>
      </c>
    </row>
    <row r="31" spans="2:28" x14ac:dyDescent="0.2">
      <c r="B31" s="6" t="s">
        <v>14</v>
      </c>
      <c r="J31" s="6" t="s">
        <v>14</v>
      </c>
      <c r="R31" s="6" t="s">
        <v>14</v>
      </c>
    </row>
    <row r="32" spans="2:28" x14ac:dyDescent="0.2">
      <c r="B32" s="6" t="s">
        <v>15</v>
      </c>
      <c r="J32" s="6" t="s">
        <v>16</v>
      </c>
      <c r="R32" s="6" t="s">
        <v>17</v>
      </c>
    </row>
    <row r="34" spans="2:27" x14ac:dyDescent="0.2">
      <c r="B34" s="2" t="s">
        <v>13</v>
      </c>
      <c r="C34" s="2" t="s">
        <v>18</v>
      </c>
      <c r="D34" s="2" t="s">
        <v>3</v>
      </c>
      <c r="E34" s="2" t="s">
        <v>4</v>
      </c>
      <c r="F34" s="2" t="s">
        <v>5</v>
      </c>
      <c r="G34" s="2" t="s">
        <v>6</v>
      </c>
      <c r="H34" s="2" t="s">
        <v>7</v>
      </c>
      <c r="I34" s="2" t="s">
        <v>8</v>
      </c>
      <c r="J34" s="2" t="s">
        <v>13</v>
      </c>
      <c r="K34" s="2" t="s">
        <v>18</v>
      </c>
      <c r="L34" s="2" t="s">
        <v>3</v>
      </c>
      <c r="M34" s="2" t="s">
        <v>4</v>
      </c>
      <c r="N34" s="2" t="s">
        <v>5</v>
      </c>
      <c r="O34" s="2" t="s">
        <v>6</v>
      </c>
      <c r="P34" s="2" t="s">
        <v>7</v>
      </c>
      <c r="Q34" s="2" t="s">
        <v>8</v>
      </c>
      <c r="R34" s="2" t="s">
        <v>13</v>
      </c>
      <c r="S34" s="2" t="s">
        <v>18</v>
      </c>
      <c r="T34" s="2" t="s">
        <v>3</v>
      </c>
      <c r="U34" s="2" t="s">
        <v>4</v>
      </c>
      <c r="V34" s="2" t="s">
        <v>5</v>
      </c>
      <c r="W34" s="2" t="s">
        <v>6</v>
      </c>
      <c r="X34" s="2" t="s">
        <v>7</v>
      </c>
      <c r="Y34" s="2" t="s">
        <v>8</v>
      </c>
      <c r="Z34" s="2" t="s">
        <v>9</v>
      </c>
      <c r="AA34" s="2" t="s">
        <v>10</v>
      </c>
    </row>
    <row r="35" spans="2:27" x14ac:dyDescent="0.2">
      <c r="B35" s="3" t="s">
        <v>18</v>
      </c>
      <c r="C35" s="4">
        <v>0</v>
      </c>
      <c r="D35" s="7"/>
      <c r="E35" s="7"/>
      <c r="F35" s="7"/>
      <c r="G35" s="7"/>
      <c r="H35" s="7"/>
      <c r="I35" s="7"/>
      <c r="J35" s="3" t="s">
        <v>18</v>
      </c>
      <c r="K35" s="4">
        <v>0</v>
      </c>
      <c r="L35" s="7"/>
      <c r="M35" s="7"/>
      <c r="N35" s="7"/>
      <c r="O35" s="7"/>
      <c r="P35" s="7"/>
      <c r="Q35" s="7"/>
      <c r="R35" s="3" t="s">
        <v>18</v>
      </c>
      <c r="S35" s="4">
        <v>0</v>
      </c>
      <c r="T35" s="7"/>
      <c r="U35" s="7"/>
      <c r="V35" s="7"/>
      <c r="W35" s="7"/>
      <c r="X35" s="7"/>
      <c r="Y35" s="7"/>
      <c r="Z35" s="7"/>
      <c r="AA35" s="7"/>
    </row>
    <row r="36" spans="2:27" x14ac:dyDescent="0.2">
      <c r="B36" s="3" t="s">
        <v>3</v>
      </c>
      <c r="C36" s="5">
        <f>MAX($D$6,$C$6)</f>
        <v>6.71</v>
      </c>
      <c r="D36" s="4">
        <v>0</v>
      </c>
      <c r="E36" s="7"/>
      <c r="F36" s="7"/>
      <c r="G36" s="7"/>
      <c r="H36" s="7"/>
      <c r="I36" s="7"/>
      <c r="J36" s="3" t="s">
        <v>3</v>
      </c>
      <c r="K36" s="5">
        <f>MIN($D$6,$C$6)</f>
        <v>6.4</v>
      </c>
      <c r="L36" s="4">
        <v>0</v>
      </c>
      <c r="M36" s="7"/>
      <c r="N36" s="7"/>
      <c r="O36" s="7"/>
      <c r="P36" s="7"/>
      <c r="Q36" s="7"/>
      <c r="R36" s="3" t="s">
        <v>3</v>
      </c>
      <c r="S36" s="5">
        <f>AVERAGE($D$6,$C$6)</f>
        <v>6.5549999999999997</v>
      </c>
      <c r="T36" s="4">
        <v>0</v>
      </c>
      <c r="U36" s="7"/>
      <c r="V36" s="7"/>
      <c r="W36" s="7"/>
      <c r="X36" s="7"/>
      <c r="Y36" s="7"/>
      <c r="Z36" s="7"/>
      <c r="AA36" s="7"/>
    </row>
    <row r="37" spans="2:27" x14ac:dyDescent="0.2">
      <c r="B37" s="3" t="s">
        <v>4</v>
      </c>
      <c r="C37" s="5">
        <f>MAX($D$7,$C$7)</f>
        <v>7.28</v>
      </c>
      <c r="D37" s="5">
        <f>$E$7</f>
        <v>4.24</v>
      </c>
      <c r="E37" s="4">
        <v>0</v>
      </c>
      <c r="F37" s="7"/>
      <c r="G37" s="7"/>
      <c r="H37" s="7"/>
      <c r="I37" s="7"/>
      <c r="J37" s="3" t="s">
        <v>4</v>
      </c>
      <c r="K37" s="5">
        <f>MIN($D$7,$C$7)</f>
        <v>6.71</v>
      </c>
      <c r="L37" s="5">
        <f>$E$7</f>
        <v>4.24</v>
      </c>
      <c r="M37" s="4">
        <v>0</v>
      </c>
      <c r="N37" s="7"/>
      <c r="O37" s="7"/>
      <c r="P37" s="7"/>
      <c r="Q37" s="7"/>
      <c r="R37" s="3" t="s">
        <v>4</v>
      </c>
      <c r="S37" s="5">
        <f>AVERAGE($D$7,$C$7)</f>
        <v>6.9950000000000001</v>
      </c>
      <c r="T37" s="5">
        <f>$E$7</f>
        <v>4.24</v>
      </c>
      <c r="U37" s="4">
        <v>0</v>
      </c>
      <c r="V37" s="7"/>
      <c r="W37" s="7"/>
      <c r="X37" s="7"/>
      <c r="Y37" s="7"/>
      <c r="Z37" s="7"/>
      <c r="AA37" s="7"/>
    </row>
    <row r="38" spans="2:27" x14ac:dyDescent="0.2">
      <c r="B38" s="3" t="s">
        <v>5</v>
      </c>
      <c r="C38" s="5">
        <f>MAX($D$8,$C$8)</f>
        <v>7.07</v>
      </c>
      <c r="D38" s="5">
        <f>$E$8</f>
        <v>2.2400000000000002</v>
      </c>
      <c r="E38" s="5">
        <f>$F$8</f>
        <v>6.4</v>
      </c>
      <c r="F38" s="4">
        <v>0</v>
      </c>
      <c r="G38" s="7"/>
      <c r="H38" s="7"/>
      <c r="I38" s="7"/>
      <c r="J38" s="3" t="s">
        <v>5</v>
      </c>
      <c r="K38" s="5">
        <f>MIN($D$8,$C$8)</f>
        <v>6.32</v>
      </c>
      <c r="L38" s="5">
        <f>$E$8</f>
        <v>2.2400000000000002</v>
      </c>
      <c r="M38" s="5">
        <f>$F$8</f>
        <v>6.4</v>
      </c>
      <c r="N38" s="4">
        <v>0</v>
      </c>
      <c r="O38" s="7"/>
      <c r="P38" s="7"/>
      <c r="Q38" s="7"/>
      <c r="R38" s="3" t="s">
        <v>5</v>
      </c>
      <c r="S38" s="5">
        <f>AVERAGE($D$8,$C$8)</f>
        <v>6.6950000000000003</v>
      </c>
      <c r="T38" s="5">
        <f>$E$8</f>
        <v>2.2400000000000002</v>
      </c>
      <c r="U38" s="5">
        <f>$F$8</f>
        <v>6.4</v>
      </c>
      <c r="V38" s="4">
        <v>0</v>
      </c>
      <c r="W38" s="7"/>
      <c r="X38" s="7"/>
      <c r="Y38" s="7"/>
      <c r="Z38" s="7"/>
      <c r="AA38" s="7"/>
    </row>
    <row r="39" spans="2:27" x14ac:dyDescent="0.2">
      <c r="B39" s="3" t="s">
        <v>6</v>
      </c>
      <c r="C39" s="5">
        <f>MAX($D$9,$C$9)</f>
        <v>9.85</v>
      </c>
      <c r="D39" s="5">
        <f>$E$9</f>
        <v>5.0999999999999996</v>
      </c>
      <c r="E39" s="5">
        <f>$F$9</f>
        <v>2.83</v>
      </c>
      <c r="F39" s="5">
        <f>$G$9</f>
        <v>7.28</v>
      </c>
      <c r="G39" s="4">
        <v>0</v>
      </c>
      <c r="H39" s="7"/>
      <c r="I39" s="7"/>
      <c r="J39" s="3" t="s">
        <v>6</v>
      </c>
      <c r="K39" s="5">
        <f>MIN($D$9,$C$9)</f>
        <v>9.43</v>
      </c>
      <c r="L39" s="5">
        <f>$E$9</f>
        <v>5.0999999999999996</v>
      </c>
      <c r="M39" s="5">
        <f>$F$9</f>
        <v>2.83</v>
      </c>
      <c r="N39" s="5">
        <f>$G$9</f>
        <v>7.28</v>
      </c>
      <c r="O39" s="4">
        <v>0</v>
      </c>
      <c r="P39" s="7"/>
      <c r="Q39" s="7"/>
      <c r="R39" s="3" t="s">
        <v>6</v>
      </c>
      <c r="S39" s="5">
        <f>AVERAGE($D$9,$C$9)</f>
        <v>9.64</v>
      </c>
      <c r="T39" s="5">
        <f>$E$9</f>
        <v>5.0999999999999996</v>
      </c>
      <c r="U39" s="5">
        <f>$F$9</f>
        <v>2.83</v>
      </c>
      <c r="V39" s="5">
        <f>$G$9</f>
        <v>7.28</v>
      </c>
      <c r="W39" s="4">
        <v>0</v>
      </c>
      <c r="X39" s="7"/>
      <c r="Y39" s="7"/>
      <c r="Z39" s="7"/>
      <c r="AA39" s="7"/>
    </row>
    <row r="40" spans="2:27" x14ac:dyDescent="0.2">
      <c r="B40" s="3" t="s">
        <v>7</v>
      </c>
      <c r="C40" s="5">
        <f>MAX($D$10,$C$10)</f>
        <v>2</v>
      </c>
      <c r="D40" s="5">
        <f>$E$10</f>
        <v>5.39</v>
      </c>
      <c r="E40" s="5">
        <f>$F$10</f>
        <v>5.39</v>
      </c>
      <c r="F40" s="5">
        <f>$G$10</f>
        <v>6</v>
      </c>
      <c r="G40" s="5">
        <f>$H$10</f>
        <v>8.06</v>
      </c>
      <c r="H40" s="4">
        <v>0</v>
      </c>
      <c r="I40" s="7"/>
      <c r="J40" s="3" t="s">
        <v>7</v>
      </c>
      <c r="K40" s="8">
        <f>MIN($D$10,$C$10)</f>
        <v>1.41</v>
      </c>
      <c r="L40" s="5">
        <f>$E$10</f>
        <v>5.39</v>
      </c>
      <c r="M40" s="5">
        <f>$F$10</f>
        <v>5.39</v>
      </c>
      <c r="N40" s="5">
        <f>$G$10</f>
        <v>6</v>
      </c>
      <c r="O40" s="5">
        <f>$H$10</f>
        <v>8.06</v>
      </c>
      <c r="P40" s="4">
        <v>0</v>
      </c>
      <c r="Q40" s="7"/>
      <c r="R40" s="3" t="s">
        <v>7</v>
      </c>
      <c r="S40" s="5">
        <f>AVERAGE($D$10,$C$10)</f>
        <v>1.7050000000000001</v>
      </c>
      <c r="T40" s="5">
        <f>$E$10</f>
        <v>5.39</v>
      </c>
      <c r="U40" s="5">
        <f>$F$10</f>
        <v>5.39</v>
      </c>
      <c r="V40" s="5">
        <f>$G$10</f>
        <v>6</v>
      </c>
      <c r="W40" s="5">
        <f>$H$10</f>
        <v>8.06</v>
      </c>
      <c r="X40" s="4">
        <v>0</v>
      </c>
      <c r="Y40" s="7"/>
      <c r="Z40" s="7"/>
      <c r="AA40" s="7"/>
    </row>
    <row r="41" spans="2:27" x14ac:dyDescent="0.2">
      <c r="B41" s="3" t="s">
        <v>8</v>
      </c>
      <c r="C41" s="5">
        <f>MAX($D$11,$C$11)</f>
        <v>8.06</v>
      </c>
      <c r="D41" s="5">
        <f>$E$11</f>
        <v>5.66</v>
      </c>
      <c r="E41" s="8">
        <f>$F$11</f>
        <v>1.41</v>
      </c>
      <c r="F41" s="5">
        <f>$G$11</f>
        <v>7.81</v>
      </c>
      <c r="G41" s="5">
        <f>$H$11</f>
        <v>3.16</v>
      </c>
      <c r="H41" s="5">
        <f>$I$11</f>
        <v>6.08</v>
      </c>
      <c r="I41" s="4">
        <v>0</v>
      </c>
      <c r="J41" s="3" t="s">
        <v>8</v>
      </c>
      <c r="K41" s="5">
        <f>MIN($D$11,$C$11)</f>
        <v>7.28</v>
      </c>
      <c r="L41" s="5">
        <f>$E$11</f>
        <v>5.66</v>
      </c>
      <c r="M41" s="5">
        <f>$F$11</f>
        <v>1.41</v>
      </c>
      <c r="N41" s="5">
        <f>$G$11</f>
        <v>7.81</v>
      </c>
      <c r="O41" s="5">
        <f>$H$11</f>
        <v>3.16</v>
      </c>
      <c r="P41" s="5">
        <f>$I$11</f>
        <v>6.08</v>
      </c>
      <c r="Q41" s="4">
        <v>0</v>
      </c>
      <c r="R41" s="3" t="s">
        <v>8</v>
      </c>
      <c r="S41" s="5">
        <f>AVERAGE($D$11,$C$11)</f>
        <v>7.67</v>
      </c>
      <c r="T41" s="5">
        <f>$E$11</f>
        <v>5.66</v>
      </c>
      <c r="U41" s="8">
        <f>$F$11</f>
        <v>1.41</v>
      </c>
      <c r="V41" s="5">
        <f>$G$11</f>
        <v>7.81</v>
      </c>
      <c r="W41" s="5">
        <f>$H$11</f>
        <v>3.16</v>
      </c>
      <c r="X41" s="5">
        <f>$I$11</f>
        <v>6.08</v>
      </c>
      <c r="Y41" s="4">
        <v>0</v>
      </c>
      <c r="Z41" s="7"/>
      <c r="AA41" s="7"/>
    </row>
    <row r="42" spans="2:27" x14ac:dyDescent="0.2">
      <c r="B42" s="3" t="s">
        <v>9</v>
      </c>
      <c r="C42" s="5">
        <f>MAX($D$12,$C$12)</f>
        <v>5.0999999999999996</v>
      </c>
      <c r="D42" s="5">
        <f>$E$12</f>
        <v>2.2400000000000002</v>
      </c>
      <c r="E42" s="5">
        <f>$F$12</f>
        <v>5.39</v>
      </c>
      <c r="F42" s="5">
        <f>$G$12</f>
        <v>2</v>
      </c>
      <c r="G42" s="5">
        <f>$H$12</f>
        <v>7</v>
      </c>
      <c r="H42" s="5">
        <f>$I$12</f>
        <v>4</v>
      </c>
      <c r="I42" s="5">
        <f>$J$12</f>
        <v>6.71</v>
      </c>
      <c r="J42" s="9" t="s">
        <v>9</v>
      </c>
      <c r="K42" s="5">
        <f>MIN($D$12,$C$12)</f>
        <v>4.47</v>
      </c>
      <c r="L42" s="5">
        <f>$E$12</f>
        <v>2.2400000000000002</v>
      </c>
      <c r="M42" s="5">
        <f>$F$12</f>
        <v>5.39</v>
      </c>
      <c r="N42" s="5">
        <f>$G$12</f>
        <v>2</v>
      </c>
      <c r="O42" s="5">
        <f>$H$12</f>
        <v>7</v>
      </c>
      <c r="P42" s="5">
        <f>$I$12</f>
        <v>4</v>
      </c>
      <c r="Q42" s="5">
        <f>$J$12</f>
        <v>6.71</v>
      </c>
      <c r="R42" s="9" t="s">
        <v>9</v>
      </c>
      <c r="S42" s="5">
        <f>AVERAGE($D$12,$C$12)</f>
        <v>4.7850000000000001</v>
      </c>
      <c r="T42" s="5">
        <f>$E$12</f>
        <v>2.2400000000000002</v>
      </c>
      <c r="U42" s="5">
        <f>$F$12</f>
        <v>5.39</v>
      </c>
      <c r="V42" s="5">
        <f>$G$12</f>
        <v>2</v>
      </c>
      <c r="W42" s="5">
        <f>$H$12</f>
        <v>7</v>
      </c>
      <c r="X42" s="5">
        <f>$I$12</f>
        <v>4</v>
      </c>
      <c r="Y42" s="5">
        <f>$J$12</f>
        <v>6.71</v>
      </c>
      <c r="Z42" s="4">
        <v>0</v>
      </c>
      <c r="AA42" s="7"/>
    </row>
    <row r="43" spans="2:27" x14ac:dyDescent="0.2">
      <c r="B43" s="3" t="s">
        <v>10</v>
      </c>
      <c r="C43" s="5">
        <f>MAX($D$13,$C$13)</f>
        <v>4.47</v>
      </c>
      <c r="D43" s="5">
        <f>$E$13</f>
        <v>3</v>
      </c>
      <c r="E43" s="5">
        <f>$F$13</f>
        <v>3</v>
      </c>
      <c r="F43" s="5">
        <f>$G$13</f>
        <v>4.47</v>
      </c>
      <c r="G43" s="5">
        <f>$H$13</f>
        <v>5.39</v>
      </c>
      <c r="H43" s="5">
        <f>$I$13</f>
        <v>2.83</v>
      </c>
      <c r="I43" s="5">
        <f>$J$13</f>
        <v>4.12</v>
      </c>
      <c r="J43" s="9" t="s">
        <v>10</v>
      </c>
      <c r="K43" s="10">
        <f>MIN($D$13,$C$13)</f>
        <v>4.24</v>
      </c>
      <c r="L43" s="5">
        <f>$E$13</f>
        <v>3</v>
      </c>
      <c r="M43" s="5">
        <f>$F$13</f>
        <v>3</v>
      </c>
      <c r="N43" s="5">
        <f>$G$13</f>
        <v>4.47</v>
      </c>
      <c r="O43" s="5">
        <f>$H$13</f>
        <v>5.39</v>
      </c>
      <c r="P43" s="5">
        <f>$I$13</f>
        <v>2.83</v>
      </c>
      <c r="Q43" s="5">
        <f>$J$13</f>
        <v>4.12</v>
      </c>
      <c r="R43" s="9" t="s">
        <v>10</v>
      </c>
      <c r="S43" s="10">
        <f>AVERAGE($D$13,$C$13)</f>
        <v>4.3550000000000004</v>
      </c>
      <c r="T43" s="5">
        <f>$E$13</f>
        <v>3</v>
      </c>
      <c r="U43" s="5">
        <f>$F$13</f>
        <v>3</v>
      </c>
      <c r="V43" s="5">
        <f>$G$13</f>
        <v>4.47</v>
      </c>
      <c r="W43" s="5">
        <f>$H$13</f>
        <v>5.39</v>
      </c>
      <c r="X43" s="5">
        <f>$I$13</f>
        <v>2.83</v>
      </c>
      <c r="Y43" s="5">
        <f>$J$13</f>
        <v>4.12</v>
      </c>
      <c r="Z43" s="5">
        <f>$K$13</f>
        <v>2.83</v>
      </c>
      <c r="AA43" s="4">
        <v>0</v>
      </c>
    </row>
    <row r="45" spans="2:27" x14ac:dyDescent="0.2">
      <c r="B45" s="6" t="s">
        <v>19</v>
      </c>
      <c r="J45" s="6" t="s">
        <v>19</v>
      </c>
      <c r="R45" s="6" t="s">
        <v>19</v>
      </c>
    </row>
    <row r="46" spans="2:27" x14ac:dyDescent="0.2">
      <c r="B46" s="6" t="s">
        <v>20</v>
      </c>
      <c r="J46" s="6" t="s">
        <v>21</v>
      </c>
      <c r="R46" s="6" t="s">
        <v>22</v>
      </c>
    </row>
    <row r="48" spans="2:27" x14ac:dyDescent="0.2">
      <c r="B48" s="2" t="s">
        <v>13</v>
      </c>
      <c r="C48" s="2" t="s">
        <v>18</v>
      </c>
      <c r="D48" s="2" t="s">
        <v>3</v>
      </c>
      <c r="E48" s="2" t="s">
        <v>5</v>
      </c>
      <c r="F48" s="2" t="s">
        <v>6</v>
      </c>
      <c r="G48" s="2" t="s">
        <v>7</v>
      </c>
      <c r="H48" s="2" t="s">
        <v>23</v>
      </c>
      <c r="I48" s="2" t="s">
        <v>9</v>
      </c>
      <c r="J48" s="2" t="s">
        <v>13</v>
      </c>
      <c r="K48" s="2" t="s">
        <v>3</v>
      </c>
      <c r="L48" s="2" t="s">
        <v>4</v>
      </c>
      <c r="M48" s="2" t="s">
        <v>5</v>
      </c>
      <c r="N48" s="2" t="s">
        <v>6</v>
      </c>
      <c r="O48" s="2" t="s">
        <v>24</v>
      </c>
      <c r="P48" s="2" t="s">
        <v>8</v>
      </c>
      <c r="Q48" s="2" t="s">
        <v>9</v>
      </c>
      <c r="R48" s="2" t="s">
        <v>13</v>
      </c>
      <c r="S48" s="2" t="s">
        <v>18</v>
      </c>
      <c r="T48" s="2" t="s">
        <v>3</v>
      </c>
      <c r="U48" s="2" t="s">
        <v>5</v>
      </c>
      <c r="V48" s="2" t="s">
        <v>6</v>
      </c>
      <c r="W48" s="2" t="s">
        <v>7</v>
      </c>
      <c r="X48" s="2" t="s">
        <v>23</v>
      </c>
      <c r="Y48" s="2" t="s">
        <v>9</v>
      </c>
      <c r="Z48" s="2" t="s">
        <v>10</v>
      </c>
    </row>
    <row r="49" spans="2:26" x14ac:dyDescent="0.2">
      <c r="B49" s="3" t="s">
        <v>18</v>
      </c>
      <c r="C49" s="4">
        <v>0</v>
      </c>
      <c r="D49" s="7"/>
      <c r="E49" s="7"/>
      <c r="F49" s="7"/>
      <c r="G49" s="7"/>
      <c r="H49" s="7"/>
      <c r="I49" s="7"/>
      <c r="J49" s="3" t="s">
        <v>3</v>
      </c>
      <c r="K49" s="4">
        <v>0</v>
      </c>
      <c r="L49" s="7"/>
      <c r="M49" s="7"/>
      <c r="N49" s="7"/>
      <c r="O49" s="7"/>
      <c r="P49" s="7"/>
      <c r="Q49" s="7"/>
      <c r="R49" s="3" t="s">
        <v>18</v>
      </c>
      <c r="S49" s="4">
        <v>0</v>
      </c>
      <c r="T49" s="7"/>
      <c r="U49" s="7"/>
      <c r="V49" s="7"/>
      <c r="W49" s="7"/>
      <c r="X49" s="7"/>
      <c r="Y49" s="7"/>
      <c r="Z49" s="7"/>
    </row>
    <row r="50" spans="2:26" x14ac:dyDescent="0.2">
      <c r="B50" s="3" t="s">
        <v>3</v>
      </c>
      <c r="C50" s="5">
        <f>MAX($D$6,$C$6)</f>
        <v>6.71</v>
      </c>
      <c r="D50" s="4">
        <v>0</v>
      </c>
      <c r="E50" s="7"/>
      <c r="F50" s="7"/>
      <c r="G50" s="7"/>
      <c r="H50" s="7"/>
      <c r="I50" s="7"/>
      <c r="J50" s="3" t="s">
        <v>4</v>
      </c>
      <c r="K50" s="5">
        <f>$E$7</f>
        <v>4.24</v>
      </c>
      <c r="L50" s="4">
        <v>0</v>
      </c>
      <c r="M50" s="7"/>
      <c r="N50" s="7"/>
      <c r="O50" s="7"/>
      <c r="P50" s="7"/>
      <c r="Q50" s="7"/>
      <c r="R50" s="3" t="s">
        <v>3</v>
      </c>
      <c r="S50" s="5">
        <f>AVERAGE($D$6,$C$6)</f>
        <v>6.5549999999999997</v>
      </c>
      <c r="T50" s="4">
        <v>0</v>
      </c>
      <c r="U50" s="7"/>
      <c r="V50" s="7"/>
      <c r="W50" s="7"/>
      <c r="X50" s="7"/>
      <c r="Y50" s="7"/>
      <c r="Z50" s="7"/>
    </row>
    <row r="51" spans="2:26" x14ac:dyDescent="0.2">
      <c r="B51" s="3" t="s">
        <v>5</v>
      </c>
      <c r="C51" s="5">
        <f>MAX($D$8,$C$8)</f>
        <v>7.07</v>
      </c>
      <c r="D51" s="5">
        <f>$E$8</f>
        <v>2.2400000000000002</v>
      </c>
      <c r="E51" s="4">
        <v>0</v>
      </c>
      <c r="F51" s="7"/>
      <c r="G51" s="7"/>
      <c r="H51" s="7"/>
      <c r="I51" s="7"/>
      <c r="J51" s="3" t="s">
        <v>5</v>
      </c>
      <c r="K51" s="5">
        <f>$E$8</f>
        <v>2.2400000000000002</v>
      </c>
      <c r="L51" s="5">
        <f>$F$8</f>
        <v>6.4</v>
      </c>
      <c r="M51" s="4">
        <v>0</v>
      </c>
      <c r="N51" s="7"/>
      <c r="O51" s="7"/>
      <c r="P51" s="7"/>
      <c r="Q51" s="7"/>
      <c r="R51" s="3" t="s">
        <v>5</v>
      </c>
      <c r="S51" s="5">
        <f>AVERAGE($D$8,$C$8)</f>
        <v>6.6950000000000003</v>
      </c>
      <c r="T51" s="5">
        <f>$E$8</f>
        <v>2.2400000000000002</v>
      </c>
      <c r="U51" s="4">
        <v>0</v>
      </c>
      <c r="V51" s="7"/>
      <c r="W51" s="7"/>
      <c r="X51" s="7"/>
      <c r="Y51" s="7"/>
      <c r="Z51" s="7"/>
    </row>
    <row r="52" spans="2:26" x14ac:dyDescent="0.2">
      <c r="B52" s="3" t="s">
        <v>6</v>
      </c>
      <c r="C52" s="5">
        <f>MAX($D$9,$C$9)</f>
        <v>9.85</v>
      </c>
      <c r="D52" s="5">
        <f>$E$9</f>
        <v>5.0999999999999996</v>
      </c>
      <c r="E52" s="5">
        <f>$G$9</f>
        <v>7.28</v>
      </c>
      <c r="F52" s="4">
        <v>0</v>
      </c>
      <c r="G52" s="7"/>
      <c r="H52" s="7"/>
      <c r="I52" s="7"/>
      <c r="J52" s="3" t="s">
        <v>6</v>
      </c>
      <c r="K52" s="5">
        <f>$E$9</f>
        <v>5.0999999999999996</v>
      </c>
      <c r="L52" s="5">
        <f>$F$9</f>
        <v>2.83</v>
      </c>
      <c r="M52" s="5">
        <f>$G$9</f>
        <v>7.28</v>
      </c>
      <c r="N52" s="4">
        <v>0</v>
      </c>
      <c r="O52" s="7"/>
      <c r="P52" s="7"/>
      <c r="Q52" s="7"/>
      <c r="R52" s="3" t="s">
        <v>6</v>
      </c>
      <c r="S52" s="5">
        <f>AVERAGE($D$9,$C$9)</f>
        <v>9.64</v>
      </c>
      <c r="T52" s="5">
        <f>$E$9</f>
        <v>5.0999999999999996</v>
      </c>
      <c r="U52" s="5">
        <f>$G$9</f>
        <v>7.28</v>
      </c>
      <c r="V52" s="4">
        <v>0</v>
      </c>
      <c r="W52" s="7"/>
      <c r="X52" s="7"/>
      <c r="Y52" s="7"/>
      <c r="Z52" s="7"/>
    </row>
    <row r="53" spans="2:26" x14ac:dyDescent="0.2">
      <c r="B53" s="3" t="s">
        <v>7</v>
      </c>
      <c r="C53" s="8">
        <f>MAX($D$10,$C$10)</f>
        <v>2</v>
      </c>
      <c r="D53" s="5">
        <f>$E$10</f>
        <v>5.39</v>
      </c>
      <c r="E53" s="5">
        <f>$G$10</f>
        <v>6</v>
      </c>
      <c r="F53" s="5">
        <f>$H$10</f>
        <v>8.06</v>
      </c>
      <c r="G53" s="4">
        <v>0</v>
      </c>
      <c r="H53" s="7"/>
      <c r="I53" s="7"/>
      <c r="J53" s="3" t="s">
        <v>24</v>
      </c>
      <c r="K53" s="5">
        <f>MIN($E$10,$E$5,$E$4)</f>
        <v>5.39</v>
      </c>
      <c r="L53" s="5">
        <f>MIN($F$10,$F$5,$F$4)</f>
        <v>5.39</v>
      </c>
      <c r="M53" s="5">
        <f>MIN($G$10,$G$5,$G$4)</f>
        <v>6</v>
      </c>
      <c r="N53" s="5">
        <f>MIN($H$10,$H$5,$H$4)</f>
        <v>8.06</v>
      </c>
      <c r="O53" s="4">
        <v>0</v>
      </c>
      <c r="P53" s="7"/>
      <c r="Q53" s="7"/>
      <c r="R53" s="3" t="s">
        <v>7</v>
      </c>
      <c r="S53" s="8">
        <f>AVERAGE($D$10,$C$10)</f>
        <v>1.7050000000000001</v>
      </c>
      <c r="T53" s="5">
        <f>$E$10</f>
        <v>5.39</v>
      </c>
      <c r="U53" s="5">
        <f>$G$10</f>
        <v>6</v>
      </c>
      <c r="V53" s="5">
        <f>$H$10</f>
        <v>8.06</v>
      </c>
      <c r="W53" s="4">
        <v>0</v>
      </c>
      <c r="X53" s="7"/>
      <c r="Y53" s="7"/>
      <c r="Z53" s="7"/>
    </row>
    <row r="54" spans="2:26" x14ac:dyDescent="0.2">
      <c r="B54" s="3" t="s">
        <v>23</v>
      </c>
      <c r="C54" s="5">
        <f>MAX($D$11,$C$11,$D$7,$C$7)</f>
        <v>8.06</v>
      </c>
      <c r="D54" s="5">
        <f>MAX($E$11,$E$7)</f>
        <v>5.66</v>
      </c>
      <c r="E54" s="5">
        <f>MAX($G$11,$G$7)</f>
        <v>7.81</v>
      </c>
      <c r="F54" s="5">
        <f>MAX($H$11,$H$7)</f>
        <v>3.16</v>
      </c>
      <c r="G54" s="5">
        <f>MAX($I$11,$I$7)</f>
        <v>6.08</v>
      </c>
      <c r="H54" s="4">
        <v>0</v>
      </c>
      <c r="I54" s="7"/>
      <c r="J54" s="3" t="s">
        <v>8</v>
      </c>
      <c r="K54" s="5">
        <f>$E$11</f>
        <v>5.66</v>
      </c>
      <c r="L54" s="8">
        <f>$F$11</f>
        <v>1.41</v>
      </c>
      <c r="M54" s="5">
        <f>$G$11</f>
        <v>7.81</v>
      </c>
      <c r="N54" s="5">
        <f>$H$11</f>
        <v>3.16</v>
      </c>
      <c r="O54" s="5">
        <f>MIN($I$11,$D$11,$C$11)</f>
        <v>6.08</v>
      </c>
      <c r="P54" s="4">
        <v>0</v>
      </c>
      <c r="Q54" s="7"/>
      <c r="R54" s="3" t="s">
        <v>23</v>
      </c>
      <c r="S54" s="5">
        <f>AVERAGE($D$11,$C$11,$D$7,$C$7)</f>
        <v>7.3325000000000005</v>
      </c>
      <c r="T54" s="5">
        <f>AVERAGE($E$11,$E$7)</f>
        <v>4.95</v>
      </c>
      <c r="U54" s="5">
        <f>AVERAGE($G$11,$G$7)</f>
        <v>7.1050000000000004</v>
      </c>
      <c r="V54" s="5">
        <f>AVERAGE($H$11,$H$7)</f>
        <v>2.9950000000000001</v>
      </c>
      <c r="W54" s="5">
        <f>AVERAGE($I$11,$I$7)</f>
        <v>5.7349999999999994</v>
      </c>
      <c r="X54" s="4">
        <v>0</v>
      </c>
      <c r="Y54" s="7"/>
      <c r="Z54" s="7"/>
    </row>
    <row r="55" spans="2:26" x14ac:dyDescent="0.2">
      <c r="B55" s="3" t="s">
        <v>9</v>
      </c>
      <c r="C55" s="5">
        <f>MAX($D$12,$C$12)</f>
        <v>5.0999999999999996</v>
      </c>
      <c r="D55" s="5">
        <f>$E$12</f>
        <v>2.2400000000000002</v>
      </c>
      <c r="E55" s="5">
        <f>$G$12</f>
        <v>2</v>
      </c>
      <c r="F55" s="5">
        <f>$H$12</f>
        <v>7</v>
      </c>
      <c r="G55" s="5">
        <f>$I$12</f>
        <v>4</v>
      </c>
      <c r="H55" s="5">
        <f>MAX($J$12,$F$12)</f>
        <v>6.71</v>
      </c>
      <c r="I55" s="4">
        <v>0</v>
      </c>
      <c r="J55" s="3" t="s">
        <v>9</v>
      </c>
      <c r="K55" s="5">
        <f>$E$12</f>
        <v>2.2400000000000002</v>
      </c>
      <c r="L55" s="5">
        <f>$F$12</f>
        <v>5.39</v>
      </c>
      <c r="M55" s="5">
        <f>$G$12</f>
        <v>2</v>
      </c>
      <c r="N55" s="5">
        <f>$H$12</f>
        <v>7</v>
      </c>
      <c r="O55" s="5">
        <f>MIN($I$12,$D$12,$C$12)</f>
        <v>4</v>
      </c>
      <c r="P55" s="5">
        <f>$J$12</f>
        <v>6.71</v>
      </c>
      <c r="Q55" s="4">
        <v>0</v>
      </c>
      <c r="R55" s="3" t="s">
        <v>9</v>
      </c>
      <c r="S55" s="5">
        <f>AVERAGE($D$12,$C$12)</f>
        <v>4.7850000000000001</v>
      </c>
      <c r="T55" s="5">
        <f>$E$12</f>
        <v>2.2400000000000002</v>
      </c>
      <c r="U55" s="5">
        <f>$G$12</f>
        <v>2</v>
      </c>
      <c r="V55" s="5">
        <f>$H$12</f>
        <v>7</v>
      </c>
      <c r="W55" s="5">
        <f>$I$12</f>
        <v>4</v>
      </c>
      <c r="X55" s="5">
        <f>AVERAGE($J$12,$F$12)</f>
        <v>6.05</v>
      </c>
      <c r="Y55" s="4">
        <v>0</v>
      </c>
      <c r="Z55" s="7"/>
    </row>
    <row r="56" spans="2:26" x14ac:dyDescent="0.2">
      <c r="B56" s="3" t="s">
        <v>10</v>
      </c>
      <c r="C56" s="5">
        <f>MAX($D$13,$C$13)</f>
        <v>4.47</v>
      </c>
      <c r="D56" s="5">
        <f>$E$13</f>
        <v>3</v>
      </c>
      <c r="E56" s="5">
        <f>$G$13</f>
        <v>4.47</v>
      </c>
      <c r="F56" s="5">
        <f>$H$13</f>
        <v>5.39</v>
      </c>
      <c r="G56" s="5">
        <f>$I$13</f>
        <v>2.83</v>
      </c>
      <c r="H56" s="5">
        <f>MAX($J$13,$F$13)</f>
        <v>4.12</v>
      </c>
      <c r="I56" s="5">
        <f>$K$13</f>
        <v>2.83</v>
      </c>
      <c r="J56" s="9" t="s">
        <v>10</v>
      </c>
      <c r="K56" s="5">
        <f>$E$13</f>
        <v>3</v>
      </c>
      <c r="L56" s="5">
        <f>$F$13</f>
        <v>3</v>
      </c>
      <c r="M56" s="5">
        <f>$G$13</f>
        <v>4.47</v>
      </c>
      <c r="N56" s="5">
        <f>$H$13</f>
        <v>5.39</v>
      </c>
      <c r="O56" s="5">
        <f>MIN($I$13,$D$13,$C$13)</f>
        <v>2.83</v>
      </c>
      <c r="P56" s="5">
        <f>$J$13</f>
        <v>4.12</v>
      </c>
      <c r="Q56" s="5">
        <f>$K$13</f>
        <v>2.83</v>
      </c>
      <c r="R56" s="9" t="s">
        <v>10</v>
      </c>
      <c r="S56" s="5">
        <f>AVERAGE($D$13,$C$13)</f>
        <v>4.3550000000000004</v>
      </c>
      <c r="T56" s="5">
        <f>$E$13</f>
        <v>3</v>
      </c>
      <c r="U56" s="5">
        <f>$G$13</f>
        <v>4.47</v>
      </c>
      <c r="V56" s="5">
        <f>$H$13</f>
        <v>5.39</v>
      </c>
      <c r="W56" s="5">
        <f>$I$13</f>
        <v>2.83</v>
      </c>
      <c r="X56" s="5">
        <f>AVERAGE($J$13,$F$13)</f>
        <v>3.56</v>
      </c>
      <c r="Y56" s="5">
        <f>$K$13</f>
        <v>2.83</v>
      </c>
      <c r="Z56" s="4">
        <v>0</v>
      </c>
    </row>
    <row r="58" spans="2:26" x14ac:dyDescent="0.2">
      <c r="B58" s="6" t="s">
        <v>25</v>
      </c>
      <c r="J58" s="6" t="s">
        <v>25</v>
      </c>
      <c r="R58" s="6" t="s">
        <v>25</v>
      </c>
    </row>
    <row r="59" spans="2:26" x14ac:dyDescent="0.2">
      <c r="B59" s="6" t="s">
        <v>26</v>
      </c>
      <c r="J59" s="6" t="s">
        <v>27</v>
      </c>
      <c r="R59" s="6" t="s">
        <v>28</v>
      </c>
    </row>
    <row r="61" spans="2:26" x14ac:dyDescent="0.2">
      <c r="B61" s="2" t="s">
        <v>13</v>
      </c>
      <c r="C61" s="2" t="s">
        <v>3</v>
      </c>
      <c r="D61" s="2" t="s">
        <v>5</v>
      </c>
      <c r="E61" s="2" t="s">
        <v>6</v>
      </c>
      <c r="F61" s="2" t="s">
        <v>24</v>
      </c>
      <c r="G61" s="2" t="s">
        <v>23</v>
      </c>
      <c r="H61" s="2" t="s">
        <v>9</v>
      </c>
      <c r="I61" s="2" t="s">
        <v>10</v>
      </c>
      <c r="J61" s="2" t="s">
        <v>13</v>
      </c>
      <c r="K61" s="2" t="s">
        <v>3</v>
      </c>
      <c r="L61" s="2" t="s">
        <v>5</v>
      </c>
      <c r="M61" s="2" t="s">
        <v>6</v>
      </c>
      <c r="N61" s="2" t="s">
        <v>24</v>
      </c>
      <c r="O61" s="2" t="s">
        <v>23</v>
      </c>
      <c r="P61" s="2" t="s">
        <v>9</v>
      </c>
      <c r="Q61" s="2" t="s">
        <v>10</v>
      </c>
      <c r="R61" s="2" t="s">
        <v>13</v>
      </c>
      <c r="S61" s="2" t="s">
        <v>3</v>
      </c>
      <c r="T61" s="2" t="s">
        <v>5</v>
      </c>
      <c r="U61" s="2" t="s">
        <v>6</v>
      </c>
      <c r="V61" s="2" t="s">
        <v>24</v>
      </c>
      <c r="W61" s="2" t="s">
        <v>23</v>
      </c>
      <c r="X61" s="2" t="s">
        <v>9</v>
      </c>
      <c r="Y61" s="2" t="s">
        <v>10</v>
      </c>
    </row>
    <row r="62" spans="2:26" x14ac:dyDescent="0.2">
      <c r="B62" s="3" t="s">
        <v>3</v>
      </c>
      <c r="C62" s="4">
        <v>0</v>
      </c>
      <c r="D62" s="7"/>
      <c r="E62" s="7"/>
      <c r="F62" s="7"/>
      <c r="G62" s="7"/>
      <c r="H62" s="7"/>
      <c r="I62" s="7"/>
      <c r="J62" s="3" t="s">
        <v>3</v>
      </c>
      <c r="K62" s="4">
        <v>0</v>
      </c>
      <c r="L62" s="7"/>
      <c r="M62" s="7"/>
      <c r="N62" s="7"/>
      <c r="O62" s="7"/>
      <c r="P62" s="7"/>
      <c r="Q62" s="7"/>
      <c r="R62" s="3" t="s">
        <v>3</v>
      </c>
      <c r="S62" s="4">
        <v>0</v>
      </c>
      <c r="T62" s="7"/>
      <c r="U62" s="7"/>
      <c r="V62" s="7"/>
      <c r="W62" s="7"/>
      <c r="X62" s="7"/>
      <c r="Y62" s="7"/>
    </row>
    <row r="63" spans="2:26" x14ac:dyDescent="0.2">
      <c r="B63" s="3" t="s">
        <v>5</v>
      </c>
      <c r="C63" s="5">
        <f>$E$8</f>
        <v>2.2400000000000002</v>
      </c>
      <c r="D63" s="4">
        <v>0</v>
      </c>
      <c r="E63" s="7"/>
      <c r="F63" s="7"/>
      <c r="G63" s="7"/>
      <c r="H63" s="7"/>
      <c r="I63" s="7"/>
      <c r="J63" s="3" t="s">
        <v>5</v>
      </c>
      <c r="K63" s="5">
        <f>$E$8</f>
        <v>2.2400000000000002</v>
      </c>
      <c r="L63" s="4">
        <v>0</v>
      </c>
      <c r="M63" s="7"/>
      <c r="N63" s="7"/>
      <c r="O63" s="7"/>
      <c r="P63" s="7"/>
      <c r="Q63" s="7"/>
      <c r="R63" s="3" t="s">
        <v>5</v>
      </c>
      <c r="S63" s="5">
        <f>$E$8</f>
        <v>2.2400000000000002</v>
      </c>
      <c r="T63" s="4">
        <v>0</v>
      </c>
      <c r="U63" s="7"/>
      <c r="V63" s="7"/>
      <c r="W63" s="7"/>
      <c r="X63" s="7"/>
      <c r="Y63" s="7"/>
    </row>
    <row r="64" spans="2:26" x14ac:dyDescent="0.2">
      <c r="B64" s="3" t="s">
        <v>6</v>
      </c>
      <c r="C64" s="5">
        <f>$E$9</f>
        <v>5.0999999999999996</v>
      </c>
      <c r="D64" s="5">
        <f>$G$9</f>
        <v>7.28</v>
      </c>
      <c r="E64" s="4">
        <v>0</v>
      </c>
      <c r="F64" s="7"/>
      <c r="G64" s="7"/>
      <c r="H64" s="7"/>
      <c r="I64" s="7"/>
      <c r="J64" s="3" t="s">
        <v>6</v>
      </c>
      <c r="K64" s="5">
        <f>$E$9</f>
        <v>5.0999999999999996</v>
      </c>
      <c r="L64" s="5">
        <f>$G$9</f>
        <v>7.28</v>
      </c>
      <c r="M64" s="4">
        <v>0</v>
      </c>
      <c r="N64" s="7"/>
      <c r="O64" s="7"/>
      <c r="P64" s="7"/>
      <c r="Q64" s="7"/>
      <c r="R64" s="3" t="s">
        <v>6</v>
      </c>
      <c r="S64" s="5">
        <f>$E$9</f>
        <v>5.0999999999999996</v>
      </c>
      <c r="T64" s="5">
        <f>$G$9</f>
        <v>7.28</v>
      </c>
      <c r="U64" s="4">
        <v>0</v>
      </c>
      <c r="V64" s="7"/>
      <c r="W64" s="7"/>
      <c r="X64" s="7"/>
      <c r="Y64" s="7"/>
    </row>
    <row r="65" spans="2:25" x14ac:dyDescent="0.2">
      <c r="B65" s="3" t="s">
        <v>24</v>
      </c>
      <c r="C65" s="5">
        <f>MAX($E$10,$E$5,$E$4)</f>
        <v>6.71</v>
      </c>
      <c r="D65" s="5">
        <f>MAX($G$10,$G$5,$G$4)</f>
        <v>7.07</v>
      </c>
      <c r="E65" s="5">
        <f>MAX($H$10,$H$5,$H$4)</f>
        <v>9.85</v>
      </c>
      <c r="F65" s="4">
        <v>0</v>
      </c>
      <c r="G65" s="7"/>
      <c r="H65" s="7"/>
      <c r="I65" s="7"/>
      <c r="J65" s="3" t="s">
        <v>24</v>
      </c>
      <c r="K65" s="5">
        <f>MIN($E$10,$E$5,$E$4)</f>
        <v>5.39</v>
      </c>
      <c r="L65" s="5">
        <f>MIN($G$10,$G$5,$G$4)</f>
        <v>6</v>
      </c>
      <c r="M65" s="5">
        <f>MIN($H$10,$H$5,$H$4)</f>
        <v>8.06</v>
      </c>
      <c r="N65" s="4">
        <v>0</v>
      </c>
      <c r="O65" s="7"/>
      <c r="P65" s="7"/>
      <c r="Q65" s="7"/>
      <c r="R65" s="3" t="s">
        <v>24</v>
      </c>
      <c r="S65" s="5">
        <f>AVERAGE($E$10,$E$5,$E$4)</f>
        <v>6.166666666666667</v>
      </c>
      <c r="T65" s="5">
        <f>AVERAGE($G$10,$G$5,$G$4)</f>
        <v>6.4633333333333338</v>
      </c>
      <c r="U65" s="5">
        <f>AVERAGE($H$10,$H$5,$H$4)</f>
        <v>9.1133333333333351</v>
      </c>
      <c r="V65" s="4">
        <v>0</v>
      </c>
      <c r="W65" s="7"/>
      <c r="X65" s="7"/>
      <c r="Y65" s="7"/>
    </row>
    <row r="66" spans="2:25" x14ac:dyDescent="0.2">
      <c r="B66" s="3" t="s">
        <v>23</v>
      </c>
      <c r="C66" s="5">
        <f>MAX($E$11,$E$7)</f>
        <v>5.66</v>
      </c>
      <c r="D66" s="5">
        <f>MAX($G$11,$G$7)</f>
        <v>7.81</v>
      </c>
      <c r="E66" s="5">
        <f>MAX($H$11,$H$7)</f>
        <v>3.16</v>
      </c>
      <c r="F66" s="5">
        <f>MAX($I$11,$D$11,$C$11,$I$7,$D$7,$C$7)</f>
        <v>8.06</v>
      </c>
      <c r="G66" s="4">
        <v>0</v>
      </c>
      <c r="H66" s="7"/>
      <c r="I66" s="7"/>
      <c r="J66" s="3" t="s">
        <v>23</v>
      </c>
      <c r="K66" s="5">
        <f>MIN($E$11,$E$7)</f>
        <v>4.24</v>
      </c>
      <c r="L66" s="5">
        <f>MIN($G$11,$G$7)</f>
        <v>6.4</v>
      </c>
      <c r="M66" s="5">
        <f>MIN($H$11,$H$7)</f>
        <v>2.83</v>
      </c>
      <c r="N66" s="5">
        <f>MIN($I$11,$D$11,$C$11,$I$7,$D$7,$C$7)</f>
        <v>5.39</v>
      </c>
      <c r="O66" s="4">
        <v>0</v>
      </c>
      <c r="P66" s="7"/>
      <c r="Q66" s="7"/>
      <c r="R66" s="3" t="s">
        <v>23</v>
      </c>
      <c r="S66" s="5">
        <f>AVERAGE($E$11,$E$7)</f>
        <v>4.95</v>
      </c>
      <c r="T66" s="5">
        <f>AVERAGE($G$11,$G$7)</f>
        <v>7.1050000000000004</v>
      </c>
      <c r="U66" s="5">
        <f>AVERAGE($H$11,$H$7)</f>
        <v>2.9950000000000001</v>
      </c>
      <c r="V66" s="5">
        <f>AVERAGE($I$11,$D$11,$C$11,$I$7,$D$7,$C$7)</f>
        <v>6.8000000000000007</v>
      </c>
      <c r="W66" s="4">
        <v>0</v>
      </c>
      <c r="X66" s="7"/>
      <c r="Y66" s="7"/>
    </row>
    <row r="67" spans="2:25" x14ac:dyDescent="0.2">
      <c r="B67" s="3" t="s">
        <v>9</v>
      </c>
      <c r="C67" s="5">
        <f>$E$12</f>
        <v>2.2400000000000002</v>
      </c>
      <c r="D67" s="8">
        <f>$G$12</f>
        <v>2</v>
      </c>
      <c r="E67" s="5">
        <f>$H$12</f>
        <v>7</v>
      </c>
      <c r="F67" s="5">
        <f>MAX($I$12,$D$12,$C$12)</f>
        <v>5.0999999999999996</v>
      </c>
      <c r="G67" s="5">
        <f>MAX($J$12,$F$12)</f>
        <v>6.71</v>
      </c>
      <c r="H67" s="4">
        <v>0</v>
      </c>
      <c r="I67" s="7"/>
      <c r="J67" s="3" t="s">
        <v>9</v>
      </c>
      <c r="K67" s="5">
        <f>$E$12</f>
        <v>2.2400000000000002</v>
      </c>
      <c r="L67" s="8">
        <f>$G$12</f>
        <v>2</v>
      </c>
      <c r="M67" s="5">
        <f>$H$12</f>
        <v>7</v>
      </c>
      <c r="N67" s="5">
        <f>MIN($I$12,$D$12,$C$12)</f>
        <v>4</v>
      </c>
      <c r="O67" s="5">
        <f>MIN($J$12,$F$12)</f>
        <v>5.39</v>
      </c>
      <c r="P67" s="4">
        <v>0</v>
      </c>
      <c r="Q67" s="7"/>
      <c r="R67" s="3" t="s">
        <v>9</v>
      </c>
      <c r="S67" s="5">
        <f>$E$12</f>
        <v>2.2400000000000002</v>
      </c>
      <c r="T67" s="8">
        <f>$G$12</f>
        <v>2</v>
      </c>
      <c r="U67" s="5">
        <f>$H$12</f>
        <v>7</v>
      </c>
      <c r="V67" s="5">
        <f>AVERAGE($I$12,$D$12,$C$12)</f>
        <v>4.5233333333333334</v>
      </c>
      <c r="W67" s="5">
        <f>AVERAGE($J$12,$F$12)</f>
        <v>6.05</v>
      </c>
      <c r="X67" s="4">
        <v>0</v>
      </c>
      <c r="Y67" s="7"/>
    </row>
    <row r="68" spans="2:25" x14ac:dyDescent="0.2">
      <c r="B68" s="3" t="s">
        <v>10</v>
      </c>
      <c r="C68" s="5">
        <f>$E$13</f>
        <v>3</v>
      </c>
      <c r="D68" s="5">
        <f>$G$13</f>
        <v>4.47</v>
      </c>
      <c r="E68" s="5">
        <f>$H$13</f>
        <v>5.39</v>
      </c>
      <c r="F68" s="5">
        <f>MAX($I$13,$D$13,$C$13)</f>
        <v>4.47</v>
      </c>
      <c r="G68" s="5">
        <f>MAX($J$13,$F$13)</f>
        <v>4.12</v>
      </c>
      <c r="H68" s="5">
        <f>$K$13</f>
        <v>2.83</v>
      </c>
      <c r="I68" s="4">
        <v>0</v>
      </c>
      <c r="J68" s="3" t="s">
        <v>10</v>
      </c>
      <c r="K68" s="5">
        <f>$E$13</f>
        <v>3</v>
      </c>
      <c r="L68" s="5">
        <f>$G$13</f>
        <v>4.47</v>
      </c>
      <c r="M68" s="5">
        <f>$H$13</f>
        <v>5.39</v>
      </c>
      <c r="N68" s="5">
        <f>MIN($I$13,$D$13,$C$13)</f>
        <v>2.83</v>
      </c>
      <c r="O68" s="5">
        <f>MIN($J$13,$F$13)</f>
        <v>3</v>
      </c>
      <c r="P68" s="5">
        <f>$K$13</f>
        <v>2.83</v>
      </c>
      <c r="Q68" s="4">
        <v>0</v>
      </c>
      <c r="R68" s="3" t="s">
        <v>10</v>
      </c>
      <c r="S68" s="5">
        <f>$E$13</f>
        <v>3</v>
      </c>
      <c r="T68" s="5">
        <f>$G$13</f>
        <v>4.47</v>
      </c>
      <c r="U68" s="5">
        <f>$H$13</f>
        <v>5.39</v>
      </c>
      <c r="V68" s="5">
        <f>AVERAGE($I$13,$D$13,$C$13)</f>
        <v>3.8466666666666662</v>
      </c>
      <c r="W68" s="5">
        <f>AVERAGE($J$13,$F$13)</f>
        <v>3.56</v>
      </c>
      <c r="X68" s="5">
        <f>$K$13</f>
        <v>2.83</v>
      </c>
      <c r="Y68" s="4">
        <v>0</v>
      </c>
    </row>
    <row r="70" spans="2:25" x14ac:dyDescent="0.2">
      <c r="B70" s="6" t="s">
        <v>29</v>
      </c>
      <c r="J70" s="6" t="s">
        <v>29</v>
      </c>
      <c r="R70" s="6" t="s">
        <v>29</v>
      </c>
    </row>
    <row r="71" spans="2:25" x14ac:dyDescent="0.2">
      <c r="B71" s="6" t="s">
        <v>30</v>
      </c>
      <c r="J71" s="6" t="s">
        <v>31</v>
      </c>
      <c r="R71" s="6" t="s">
        <v>32</v>
      </c>
    </row>
    <row r="73" spans="2:25" x14ac:dyDescent="0.2">
      <c r="B73" s="2" t="s">
        <v>13</v>
      </c>
      <c r="C73" s="2" t="s">
        <v>3</v>
      </c>
      <c r="D73" s="2" t="s">
        <v>6</v>
      </c>
      <c r="E73" s="2" t="s">
        <v>24</v>
      </c>
      <c r="F73" s="2" t="s">
        <v>23</v>
      </c>
      <c r="G73" s="2" t="s">
        <v>33</v>
      </c>
      <c r="H73" s="2" t="s">
        <v>10</v>
      </c>
      <c r="J73" s="2" t="s">
        <v>13</v>
      </c>
      <c r="K73" s="2" t="s">
        <v>3</v>
      </c>
      <c r="L73" s="2" t="s">
        <v>6</v>
      </c>
      <c r="M73" s="2" t="s">
        <v>24</v>
      </c>
      <c r="N73" s="2" t="s">
        <v>23</v>
      </c>
      <c r="O73" s="2" t="s">
        <v>33</v>
      </c>
      <c r="P73" s="2" t="s">
        <v>10</v>
      </c>
      <c r="R73" s="2" t="s">
        <v>13</v>
      </c>
      <c r="S73" s="2" t="s">
        <v>3</v>
      </c>
      <c r="T73" s="2" t="s">
        <v>6</v>
      </c>
      <c r="U73" s="2" t="s">
        <v>24</v>
      </c>
      <c r="V73" s="2" t="s">
        <v>23</v>
      </c>
      <c r="W73" s="2" t="s">
        <v>33</v>
      </c>
      <c r="X73" s="2" t="s">
        <v>10</v>
      </c>
    </row>
    <row r="74" spans="2:25" x14ac:dyDescent="0.2">
      <c r="B74" s="3" t="s">
        <v>3</v>
      </c>
      <c r="C74" s="4">
        <v>0</v>
      </c>
      <c r="D74" s="7"/>
      <c r="E74" s="7"/>
      <c r="F74" s="7"/>
      <c r="G74" s="7"/>
      <c r="H74" s="7"/>
      <c r="J74" s="3" t="s">
        <v>3</v>
      </c>
      <c r="K74" s="4">
        <v>0</v>
      </c>
      <c r="L74" s="7"/>
      <c r="M74" s="7"/>
      <c r="N74" s="7"/>
      <c r="O74" s="7"/>
      <c r="P74" s="7"/>
      <c r="R74" s="3" t="s">
        <v>3</v>
      </c>
      <c r="S74" s="4">
        <v>0</v>
      </c>
      <c r="T74" s="7"/>
      <c r="U74" s="7"/>
      <c r="V74" s="7"/>
      <c r="W74" s="7"/>
      <c r="X74" s="7"/>
    </row>
    <row r="75" spans="2:25" x14ac:dyDescent="0.2">
      <c r="B75" s="3" t="s">
        <v>6</v>
      </c>
      <c r="C75" s="5">
        <f>$E$9</f>
        <v>5.0999999999999996</v>
      </c>
      <c r="D75" s="4">
        <v>0</v>
      </c>
      <c r="E75" s="7"/>
      <c r="F75" s="7"/>
      <c r="G75" s="7"/>
      <c r="H75" s="7"/>
      <c r="J75" s="3" t="s">
        <v>6</v>
      </c>
      <c r="K75" s="5">
        <f>$E$9</f>
        <v>5.0999999999999996</v>
      </c>
      <c r="L75" s="4">
        <v>0</v>
      </c>
      <c r="M75" s="7"/>
      <c r="N75" s="7"/>
      <c r="O75" s="7"/>
      <c r="P75" s="7"/>
      <c r="R75" s="3" t="s">
        <v>6</v>
      </c>
      <c r="S75" s="5">
        <f>$E$9</f>
        <v>5.0999999999999996</v>
      </c>
      <c r="T75" s="4">
        <v>0</v>
      </c>
      <c r="U75" s="7"/>
      <c r="V75" s="7"/>
      <c r="W75" s="7"/>
      <c r="X75" s="7"/>
    </row>
    <row r="76" spans="2:25" x14ac:dyDescent="0.2">
      <c r="B76" s="3" t="s">
        <v>24</v>
      </c>
      <c r="C76" s="5">
        <f>MAX($E$10,$E$5,$E$4)</f>
        <v>6.71</v>
      </c>
      <c r="D76" s="5">
        <f>MAX($H$10,$H$5,$H$4)</f>
        <v>9.85</v>
      </c>
      <c r="E76" s="4">
        <v>0</v>
      </c>
      <c r="F76" s="7"/>
      <c r="G76" s="7"/>
      <c r="H76" s="7"/>
      <c r="J76" s="3" t="s">
        <v>24</v>
      </c>
      <c r="K76" s="5">
        <f>MIN($E$10,$E$5,$E$4)</f>
        <v>5.39</v>
      </c>
      <c r="L76" s="5">
        <f>MIN($H$10,$H$5,$H$4)</f>
        <v>8.06</v>
      </c>
      <c r="M76" s="4">
        <v>0</v>
      </c>
      <c r="N76" s="7"/>
      <c r="O76" s="7"/>
      <c r="P76" s="7"/>
      <c r="R76" s="3" t="s">
        <v>24</v>
      </c>
      <c r="S76" s="5">
        <f>AVERAGE($E$10,$E$5,$E$4)</f>
        <v>6.166666666666667</v>
      </c>
      <c r="T76" s="5">
        <f>AVERAGE($H$10,$H$5,$H$4)</f>
        <v>9.1133333333333351</v>
      </c>
      <c r="U76" s="4">
        <v>0</v>
      </c>
      <c r="V76" s="7"/>
      <c r="W76" s="7"/>
      <c r="X76" s="7"/>
    </row>
    <row r="77" spans="2:25" x14ac:dyDescent="0.2">
      <c r="B77" s="3" t="s">
        <v>23</v>
      </c>
      <c r="C77" s="5">
        <f>MAX($E$11,$E$7)</f>
        <v>5.66</v>
      </c>
      <c r="D77" s="5">
        <f>MAX($H$11,$H$7)</f>
        <v>3.16</v>
      </c>
      <c r="E77" s="5">
        <f>MAX($I$11,$D$11,$C$11,$I$7,$D$7,$C$7)</f>
        <v>8.06</v>
      </c>
      <c r="F77" s="4">
        <v>0</v>
      </c>
      <c r="G77" s="7"/>
      <c r="H77" s="7"/>
      <c r="J77" s="3" t="s">
        <v>23</v>
      </c>
      <c r="K77" s="5">
        <f>MIN($E$11,$E$7)</f>
        <v>4.24</v>
      </c>
      <c r="L77" s="5">
        <f>MIN($H$11,$H$7)</f>
        <v>2.83</v>
      </c>
      <c r="M77" s="5">
        <f>MIN($I$11,$D$11,$C$11,$I$7,$D$7,$C$7)</f>
        <v>5.39</v>
      </c>
      <c r="N77" s="4">
        <v>0</v>
      </c>
      <c r="O77" s="7"/>
      <c r="P77" s="7"/>
      <c r="R77" s="3" t="s">
        <v>23</v>
      </c>
      <c r="S77" s="5">
        <f>AVERAGE($E$11,$E$7)</f>
        <v>4.95</v>
      </c>
      <c r="T77" s="5">
        <f>AVERAGE($H$11,$H$7)</f>
        <v>2.9950000000000001</v>
      </c>
      <c r="U77" s="5">
        <f>AVERAGE($I$11,$D$11,$C$11,$I$7,$D$7,$C$7)</f>
        <v>6.8000000000000007</v>
      </c>
      <c r="V77" s="4">
        <v>0</v>
      </c>
      <c r="W77" s="7"/>
      <c r="X77" s="7"/>
    </row>
    <row r="78" spans="2:25" x14ac:dyDescent="0.2">
      <c r="B78" s="3" t="s">
        <v>33</v>
      </c>
      <c r="C78" s="8">
        <f>MAX($E$12,$E$8)</f>
        <v>2.2400000000000002</v>
      </c>
      <c r="D78" s="5">
        <f>MAX($H$12,$H$8)</f>
        <v>7.28</v>
      </c>
      <c r="E78" s="5">
        <f>MAX($I$12,$D$12,$C$12,$I$8,$D$8,$C$8)</f>
        <v>7.07</v>
      </c>
      <c r="F78" s="5">
        <f>MAX($J$12,$F$12,$J$8,$F$8)</f>
        <v>7.81</v>
      </c>
      <c r="G78" s="4">
        <v>0</v>
      </c>
      <c r="H78" s="7"/>
      <c r="J78" s="3" t="s">
        <v>33</v>
      </c>
      <c r="K78" s="8">
        <f>MIN($E$12,$E$8)</f>
        <v>2.2400000000000002</v>
      </c>
      <c r="L78" s="5">
        <f>MIN($H$12,$H$8)</f>
        <v>7</v>
      </c>
      <c r="M78" s="5">
        <f>MIN($I$12,$D$12,$C$12,$I$8,$D$8,$C$8)</f>
        <v>4</v>
      </c>
      <c r="N78" s="5">
        <f>MIN($J$12,$F$12,$J$8,$F$8)</f>
        <v>5.39</v>
      </c>
      <c r="O78" s="4">
        <v>0</v>
      </c>
      <c r="P78" s="7"/>
      <c r="R78" s="3" t="s">
        <v>33</v>
      </c>
      <c r="S78" s="8">
        <f>AVERAGE($E$12,$E$8)</f>
        <v>2.2400000000000002</v>
      </c>
      <c r="T78" s="5">
        <f>AVERAGE($H$12,$H$8)</f>
        <v>7.1400000000000006</v>
      </c>
      <c r="U78" s="5">
        <f>AVERAGE($I$12,$D$12,$C$12,$I$8,$D$8,$C$8)</f>
        <v>5.4933333333333332</v>
      </c>
      <c r="V78" s="5">
        <f>AVERAGE($J$12,$F$12,$J$8,$F$8)</f>
        <v>6.5775000000000006</v>
      </c>
      <c r="W78" s="4">
        <v>0</v>
      </c>
      <c r="X78" s="7"/>
    </row>
    <row r="79" spans="2:25" x14ac:dyDescent="0.2">
      <c r="B79" s="3" t="s">
        <v>10</v>
      </c>
      <c r="C79" s="5">
        <f>$E$13</f>
        <v>3</v>
      </c>
      <c r="D79" s="5">
        <f>$H$13</f>
        <v>5.39</v>
      </c>
      <c r="E79" s="5">
        <f>MAX($I$13,$D$13,$C$13)</f>
        <v>4.47</v>
      </c>
      <c r="F79" s="5">
        <f>MAX($J$13,$F$13)</f>
        <v>4.12</v>
      </c>
      <c r="G79" s="5">
        <f>MAX($K$13,$G$13)</f>
        <v>4.47</v>
      </c>
      <c r="H79" s="4">
        <v>0</v>
      </c>
      <c r="J79" s="3" t="s">
        <v>10</v>
      </c>
      <c r="K79" s="5">
        <f>$E$13</f>
        <v>3</v>
      </c>
      <c r="L79" s="5">
        <f>$H$13</f>
        <v>5.39</v>
      </c>
      <c r="M79" s="5">
        <f>MIN($I$13,$D$13,$C$13)</f>
        <v>2.83</v>
      </c>
      <c r="N79" s="5">
        <f>MIN($J$13,$F$13)</f>
        <v>3</v>
      </c>
      <c r="O79" s="5">
        <f>MIN($K$13,$G$13)</f>
        <v>2.83</v>
      </c>
      <c r="P79" s="4">
        <v>0</v>
      </c>
      <c r="R79" s="3" t="s">
        <v>10</v>
      </c>
      <c r="S79" s="5">
        <f>$E$13</f>
        <v>3</v>
      </c>
      <c r="T79" s="5">
        <f>$H$13</f>
        <v>5.39</v>
      </c>
      <c r="U79" s="5">
        <f>AVERAGE($I$13,$D$13,$C$13)</f>
        <v>3.8466666666666662</v>
      </c>
      <c r="V79" s="5">
        <f>AVERAGE($J$13,$F$13)</f>
        <v>3.56</v>
      </c>
      <c r="W79" s="5">
        <f>AVERAGE($K$13,$G$13)</f>
        <v>3.65</v>
      </c>
      <c r="X79" s="4">
        <v>0</v>
      </c>
    </row>
    <row r="81" spans="2:23" x14ac:dyDescent="0.2">
      <c r="B81" s="6" t="s">
        <v>34</v>
      </c>
      <c r="J81" s="6" t="s">
        <v>34</v>
      </c>
      <c r="R81" s="6" t="s">
        <v>34</v>
      </c>
    </row>
    <row r="82" spans="2:23" x14ac:dyDescent="0.2">
      <c r="B82" s="6" t="s">
        <v>35</v>
      </c>
      <c r="J82" s="6" t="s">
        <v>36</v>
      </c>
      <c r="R82" s="6" t="s">
        <v>37</v>
      </c>
    </row>
    <row r="84" spans="2:23" x14ac:dyDescent="0.2">
      <c r="B84" s="2" t="s">
        <v>13</v>
      </c>
      <c r="C84" s="2" t="s">
        <v>6</v>
      </c>
      <c r="D84" s="2" t="s">
        <v>24</v>
      </c>
      <c r="E84" s="2" t="s">
        <v>23</v>
      </c>
      <c r="F84" s="2" t="s">
        <v>38</v>
      </c>
      <c r="G84" s="2" t="s">
        <v>10</v>
      </c>
      <c r="J84" s="2" t="s">
        <v>13</v>
      </c>
      <c r="K84" s="2" t="s">
        <v>6</v>
      </c>
      <c r="L84" s="2" t="s">
        <v>24</v>
      </c>
      <c r="M84" s="2" t="s">
        <v>23</v>
      </c>
      <c r="N84" s="2" t="s">
        <v>38</v>
      </c>
      <c r="O84" s="2" t="s">
        <v>10</v>
      </c>
      <c r="R84" s="2" t="s">
        <v>13</v>
      </c>
      <c r="S84" s="2" t="s">
        <v>6</v>
      </c>
      <c r="T84" s="2" t="s">
        <v>24</v>
      </c>
      <c r="U84" s="2" t="s">
        <v>23</v>
      </c>
      <c r="V84" s="2" t="s">
        <v>38</v>
      </c>
      <c r="W84" s="2" t="s">
        <v>10</v>
      </c>
    </row>
    <row r="85" spans="2:23" x14ac:dyDescent="0.2">
      <c r="B85" s="3" t="s">
        <v>6</v>
      </c>
      <c r="C85" s="4">
        <v>0</v>
      </c>
      <c r="D85" s="7"/>
      <c r="E85" s="7"/>
      <c r="F85" s="7"/>
      <c r="G85" s="7"/>
      <c r="J85" s="3" t="s">
        <v>6</v>
      </c>
      <c r="K85" s="4">
        <v>0</v>
      </c>
      <c r="L85" s="7"/>
      <c r="M85" s="7"/>
      <c r="N85" s="7"/>
      <c r="O85" s="7"/>
      <c r="R85" s="3" t="s">
        <v>6</v>
      </c>
      <c r="S85" s="4">
        <v>0</v>
      </c>
      <c r="T85" s="7"/>
      <c r="U85" s="7"/>
      <c r="V85" s="7"/>
      <c r="W85" s="7"/>
    </row>
    <row r="86" spans="2:23" x14ac:dyDescent="0.2">
      <c r="B86" s="3" t="s">
        <v>24</v>
      </c>
      <c r="C86" s="5">
        <f>MAX($H$10,$H$5,$H$4)</f>
        <v>9.85</v>
      </c>
      <c r="D86" s="4">
        <v>0</v>
      </c>
      <c r="E86" s="7"/>
      <c r="F86" s="7"/>
      <c r="G86" s="7"/>
      <c r="J86" s="3" t="s">
        <v>24</v>
      </c>
      <c r="K86" s="5">
        <f>MIN($H$10,$H$5,$H$4)</f>
        <v>8.06</v>
      </c>
      <c r="L86" s="4">
        <v>0</v>
      </c>
      <c r="M86" s="7"/>
      <c r="N86" s="7"/>
      <c r="O86" s="7"/>
      <c r="R86" s="3" t="s">
        <v>24</v>
      </c>
      <c r="S86" s="5">
        <f>AVERAGE($H$10,$H$5,$H$4)</f>
        <v>9.1133333333333351</v>
      </c>
      <c r="T86" s="4">
        <v>0</v>
      </c>
      <c r="U86" s="7"/>
      <c r="V86" s="7"/>
      <c r="W86" s="7"/>
    </row>
    <row r="87" spans="2:23" x14ac:dyDescent="0.2">
      <c r="B87" s="3" t="s">
        <v>23</v>
      </c>
      <c r="C87" s="8">
        <f>MAX($H$11,$H$7)</f>
        <v>3.16</v>
      </c>
      <c r="D87" s="5">
        <f>MAX($I$11,$D$11,$C$11,$I$7,$D$7,$C$7)</f>
        <v>8.06</v>
      </c>
      <c r="E87" s="4">
        <v>0</v>
      </c>
      <c r="F87" s="7"/>
      <c r="G87" s="7"/>
      <c r="J87" s="3" t="s">
        <v>23</v>
      </c>
      <c r="K87" s="8">
        <f>MIN($H$11,$H$7)</f>
        <v>2.83</v>
      </c>
      <c r="L87" s="5">
        <f>MIN($I$11,$D$11,$C$11,$I$7,$D$7,$C$7)</f>
        <v>5.39</v>
      </c>
      <c r="M87" s="4">
        <v>0</v>
      </c>
      <c r="N87" s="7"/>
      <c r="O87" s="7"/>
      <c r="R87" s="3" t="s">
        <v>23</v>
      </c>
      <c r="S87" s="8">
        <f>AVERAGE($H$11,$H$7)</f>
        <v>2.9950000000000001</v>
      </c>
      <c r="T87" s="5">
        <f>AVERAGE($I$11,$D$11,$C$11,$I$7,$D$7,$C$7)</f>
        <v>6.8000000000000007</v>
      </c>
      <c r="U87" s="4">
        <v>0</v>
      </c>
      <c r="V87" s="7"/>
      <c r="W87" s="7"/>
    </row>
    <row r="88" spans="2:23" x14ac:dyDescent="0.2">
      <c r="B88" s="3" t="s">
        <v>38</v>
      </c>
      <c r="C88" s="5">
        <f>MAX($H$12,$H$8,$H$6)</f>
        <v>7.28</v>
      </c>
      <c r="D88" s="5">
        <f>MAX($I$12,$D$12,$C$12,$I$8,$D$8,$C$8,$I$6,$D$6,$C$6)</f>
        <v>7.07</v>
      </c>
      <c r="E88" s="5">
        <f>MAX($J$12,$F$12,$J$8,$F$8,$J$6,$F$6)</f>
        <v>7.81</v>
      </c>
      <c r="F88" s="4">
        <v>0</v>
      </c>
      <c r="G88" s="7"/>
      <c r="J88" s="3" t="s">
        <v>38</v>
      </c>
      <c r="K88" s="5">
        <f>MIN($H$12,$H$8,$H$6)</f>
        <v>5.0999999999999996</v>
      </c>
      <c r="L88" s="5">
        <f>MIN($I$12,$D$12,$C$12,$I$8,$D$8,$C$8,$I$6,$D$6,$C$6)</f>
        <v>4</v>
      </c>
      <c r="M88" s="5">
        <f>MIN($J$12,$F$12,$J$8,$F$8,$J$6,$F$6)</f>
        <v>4.24</v>
      </c>
      <c r="N88" s="4">
        <v>0</v>
      </c>
      <c r="O88" s="7"/>
      <c r="R88" s="3" t="s">
        <v>38</v>
      </c>
      <c r="S88" s="5">
        <f>AVERAGE($H$12,$H$8,$H$6)</f>
        <v>6.4600000000000009</v>
      </c>
      <c r="T88" s="5">
        <f>AVERAGE($I$12,$D$12,$C$12,$I$8,$D$8,$C$8,$I$6,$D$6,$C$6)</f>
        <v>5.7177777777777781</v>
      </c>
      <c r="U88" s="5">
        <f>AVERAGE($J$12,$F$12,$J$8,$F$8,$J$6,$F$6)</f>
        <v>6.0350000000000001</v>
      </c>
      <c r="V88" s="4">
        <v>0</v>
      </c>
      <c r="W88" s="7"/>
    </row>
    <row r="89" spans="2:23" x14ac:dyDescent="0.2">
      <c r="B89" s="3" t="s">
        <v>10</v>
      </c>
      <c r="C89" s="5">
        <f>$H$13</f>
        <v>5.39</v>
      </c>
      <c r="D89" s="5">
        <f>MAX($I$13,$D$13,$C$13)</f>
        <v>4.47</v>
      </c>
      <c r="E89" s="5">
        <f>MAX($J$13,$F$13)</f>
        <v>4.12</v>
      </c>
      <c r="F89" s="5">
        <f>MAX($K$13,$G$13,$E$13)</f>
        <v>4.47</v>
      </c>
      <c r="G89" s="4">
        <v>0</v>
      </c>
      <c r="J89" s="3" t="s">
        <v>10</v>
      </c>
      <c r="K89" s="5">
        <f>$H$13</f>
        <v>5.39</v>
      </c>
      <c r="L89" s="5">
        <f>MIN($I$13,$D$13,$C$13)</f>
        <v>2.83</v>
      </c>
      <c r="M89" s="5">
        <f>MIN($J$13,$F$13)</f>
        <v>3</v>
      </c>
      <c r="N89" s="5">
        <f>MIN($K$13,$G$13,$E$13)</f>
        <v>2.83</v>
      </c>
      <c r="O89" s="4">
        <v>0</v>
      </c>
      <c r="R89" s="3" t="s">
        <v>10</v>
      </c>
      <c r="S89" s="5">
        <f>$H$13</f>
        <v>5.39</v>
      </c>
      <c r="T89" s="5">
        <f>AVERAGE($I$13,$D$13,$C$13)</f>
        <v>3.8466666666666662</v>
      </c>
      <c r="U89" s="5">
        <f>AVERAGE($J$13,$F$13)</f>
        <v>3.56</v>
      </c>
      <c r="V89" s="5">
        <f>AVERAGE($K$13,$G$13,$E$13)</f>
        <v>3.4333333333333336</v>
      </c>
      <c r="W89" s="4">
        <v>0</v>
      </c>
    </row>
    <row r="91" spans="2:23" x14ac:dyDescent="0.2">
      <c r="B91" s="6" t="s">
        <v>39</v>
      </c>
      <c r="J91" s="6" t="s">
        <v>39</v>
      </c>
      <c r="R91" s="6" t="s">
        <v>39</v>
      </c>
    </row>
    <row r="92" spans="2:23" x14ac:dyDescent="0.2">
      <c r="B92" s="6" t="s">
        <v>40</v>
      </c>
      <c r="J92" s="6" t="s">
        <v>41</v>
      </c>
      <c r="R92" s="6" t="s">
        <v>42</v>
      </c>
    </row>
    <row r="94" spans="2:23" x14ac:dyDescent="0.2">
      <c r="B94" s="2" t="s">
        <v>13</v>
      </c>
      <c r="C94" s="2" t="s">
        <v>24</v>
      </c>
      <c r="D94" s="2" t="s">
        <v>43</v>
      </c>
      <c r="E94" s="2" t="s">
        <v>38</v>
      </c>
      <c r="F94" s="2" t="s">
        <v>10</v>
      </c>
      <c r="J94" s="2" t="s">
        <v>13</v>
      </c>
      <c r="K94" s="2" t="s">
        <v>24</v>
      </c>
      <c r="L94" s="2" t="s">
        <v>43</v>
      </c>
      <c r="M94" s="2" t="s">
        <v>38</v>
      </c>
      <c r="N94" s="2" t="s">
        <v>10</v>
      </c>
      <c r="R94" s="2" t="s">
        <v>13</v>
      </c>
      <c r="S94" s="2" t="s">
        <v>24</v>
      </c>
      <c r="T94" s="2" t="s">
        <v>43</v>
      </c>
      <c r="U94" s="2" t="s">
        <v>38</v>
      </c>
      <c r="V94" s="2" t="s">
        <v>10</v>
      </c>
    </row>
    <row r="95" spans="2:23" x14ac:dyDescent="0.2">
      <c r="B95" s="3" t="s">
        <v>24</v>
      </c>
      <c r="C95" s="4">
        <v>0</v>
      </c>
      <c r="D95" s="7"/>
      <c r="E95" s="7"/>
      <c r="F95" s="7"/>
      <c r="J95" s="3" t="s">
        <v>24</v>
      </c>
      <c r="K95" s="4">
        <v>0</v>
      </c>
      <c r="L95" s="7"/>
      <c r="M95" s="7"/>
      <c r="N95" s="7"/>
      <c r="R95" s="3" t="s">
        <v>24</v>
      </c>
      <c r="S95" s="4">
        <v>0</v>
      </c>
      <c r="T95" s="7"/>
      <c r="U95" s="7"/>
      <c r="V95" s="7"/>
    </row>
    <row r="96" spans="2:23" x14ac:dyDescent="0.2">
      <c r="B96" s="3" t="s">
        <v>43</v>
      </c>
      <c r="C96" s="5">
        <f>MAX($I$11,$D$11,$C$11,$I$7,$D$7,$C$7,$I$9,$D$9,$C$9)</f>
        <v>9.85</v>
      </c>
      <c r="D96" s="4">
        <v>0</v>
      </c>
      <c r="E96" s="7"/>
      <c r="F96" s="7"/>
      <c r="J96" s="3" t="s">
        <v>43</v>
      </c>
      <c r="K96" s="5">
        <f>MIN($I$11,$D$11,$C$11,$I$7,$D$7,$C$7,$I$9,$D$9,$C$9)</f>
        <v>5.39</v>
      </c>
      <c r="L96" s="4">
        <v>0</v>
      </c>
      <c r="M96" s="7"/>
      <c r="N96" s="7"/>
      <c r="R96" s="3" t="s">
        <v>43</v>
      </c>
      <c r="S96" s="5">
        <f>AVERAGE($I$11,$D$11,$C$11,$I$7,$D$7,$C$7,$I$9,$D$9,$C$9)</f>
        <v>7.5711111111111116</v>
      </c>
      <c r="T96" s="4">
        <v>0</v>
      </c>
      <c r="U96" s="7"/>
      <c r="V96" s="7"/>
    </row>
    <row r="97" spans="2:22" x14ac:dyDescent="0.2">
      <c r="B97" s="3" t="s">
        <v>38</v>
      </c>
      <c r="C97" s="5">
        <f>MAX($I$12,$D$12,$C$12,$I$8,$D$8,$C$8,$I$6,$D$6,$C$6)</f>
        <v>7.07</v>
      </c>
      <c r="D97" s="5">
        <f>MAX($J$12,$F$12,$H$12,$J$8,$F$8,$H$8,$J$6,$F$6,$H$6)</f>
        <v>7.81</v>
      </c>
      <c r="E97" s="4">
        <v>0</v>
      </c>
      <c r="F97" s="7"/>
      <c r="J97" s="3" t="s">
        <v>38</v>
      </c>
      <c r="K97" s="5">
        <f>MIN($I$12,$D$12,$C$12,$I$8,$D$8,$C$8,$I$6,$D$6,$C$6)</f>
        <v>4</v>
      </c>
      <c r="L97" s="5">
        <f>MIN($J$12,$F$12,$H$12,$J$8,$F$8,$H$8,$J$6,$F$6,$H$6)</f>
        <v>4.24</v>
      </c>
      <c r="M97" s="4">
        <v>0</v>
      </c>
      <c r="N97" s="7"/>
      <c r="R97" s="3" t="s">
        <v>38</v>
      </c>
      <c r="S97" s="5">
        <f>AVERAGE($I$12,$D$12,$C$12,$I$8,$D$8,$C$8,$I$6,$D$6,$C$6)</f>
        <v>5.7177777777777781</v>
      </c>
      <c r="T97" s="5">
        <f>AVERAGE($J$12,$F$12,$H$12,$J$8,$F$8,$H$8,$J$6,$F$6,$H$6)</f>
        <v>6.1766666666666667</v>
      </c>
      <c r="U97" s="4">
        <v>0</v>
      </c>
      <c r="V97" s="7"/>
    </row>
    <row r="98" spans="2:22" x14ac:dyDescent="0.2">
      <c r="B98" s="3" t="s">
        <v>10</v>
      </c>
      <c r="C98" s="8">
        <f>MAX($I$13,$D$13,$C$13)</f>
        <v>4.47</v>
      </c>
      <c r="D98" s="5">
        <f>MAX($J$13,$F$13,$H$13)</f>
        <v>5.39</v>
      </c>
      <c r="E98" s="5">
        <f>MAX($K$13,$G$13,$E$13)</f>
        <v>4.47</v>
      </c>
      <c r="F98" s="4">
        <v>0</v>
      </c>
      <c r="J98" s="3" t="s">
        <v>10</v>
      </c>
      <c r="K98" s="8">
        <f>MIN($I$13,$D$13,$C$13)</f>
        <v>2.83</v>
      </c>
      <c r="L98" s="5">
        <f>MIN($J$13,$F$13,$H$13)</f>
        <v>3</v>
      </c>
      <c r="M98" s="5">
        <f>MIN($K$13,$G$13,$E$13)</f>
        <v>2.83</v>
      </c>
      <c r="N98" s="4">
        <v>0</v>
      </c>
      <c r="R98" s="3" t="s">
        <v>10</v>
      </c>
      <c r="S98" s="5">
        <f>AVERAGE($I$13,$D$13,$C$13)</f>
        <v>3.8466666666666662</v>
      </c>
      <c r="T98" s="5">
        <f>AVERAGE($J$13,$F$13,$H$13)</f>
        <v>4.17</v>
      </c>
      <c r="U98" s="8">
        <f>AVERAGE($K$13,$G$13,$E$13)</f>
        <v>3.4333333333333336</v>
      </c>
      <c r="V98" s="4">
        <v>0</v>
      </c>
    </row>
    <row r="100" spans="2:22" x14ac:dyDescent="0.2">
      <c r="B100" s="6" t="s">
        <v>44</v>
      </c>
      <c r="J100" s="6" t="s">
        <v>44</v>
      </c>
      <c r="R100" s="6" t="s">
        <v>44</v>
      </c>
    </row>
    <row r="101" spans="2:22" x14ac:dyDescent="0.2">
      <c r="B101" s="6" t="s">
        <v>45</v>
      </c>
      <c r="J101" s="6" t="s">
        <v>46</v>
      </c>
      <c r="R101" s="6" t="s">
        <v>47</v>
      </c>
    </row>
    <row r="103" spans="2:22" x14ac:dyDescent="0.2">
      <c r="B103" s="2" t="s">
        <v>13</v>
      </c>
      <c r="C103" s="2" t="s">
        <v>43</v>
      </c>
      <c r="D103" s="2" t="s">
        <v>38</v>
      </c>
      <c r="E103" s="2" t="s">
        <v>48</v>
      </c>
      <c r="J103" s="2" t="s">
        <v>13</v>
      </c>
      <c r="K103" s="2" t="s">
        <v>43</v>
      </c>
      <c r="L103" s="2" t="s">
        <v>38</v>
      </c>
      <c r="M103" s="2" t="s">
        <v>48</v>
      </c>
      <c r="R103" s="2" t="s">
        <v>13</v>
      </c>
      <c r="S103" s="2" t="s">
        <v>24</v>
      </c>
      <c r="T103" s="2" t="s">
        <v>43</v>
      </c>
      <c r="U103" s="2" t="s">
        <v>49</v>
      </c>
    </row>
    <row r="104" spans="2:22" x14ac:dyDescent="0.2">
      <c r="B104" s="3" t="s">
        <v>43</v>
      </c>
      <c r="C104" s="4">
        <v>0</v>
      </c>
      <c r="D104" s="7"/>
      <c r="E104" s="7"/>
      <c r="J104" s="3" t="s">
        <v>43</v>
      </c>
      <c r="K104" s="4">
        <v>0</v>
      </c>
      <c r="L104" s="7"/>
      <c r="M104" s="7"/>
      <c r="R104" s="3" t="s">
        <v>24</v>
      </c>
      <c r="S104" s="4">
        <v>0</v>
      </c>
      <c r="T104" s="7"/>
      <c r="U104" s="7"/>
    </row>
    <row r="105" spans="2:22" x14ac:dyDescent="0.2">
      <c r="B105" s="3" t="s">
        <v>38</v>
      </c>
      <c r="C105" s="5">
        <f>MAX($J$12,$F$12,$H$12,$J$8,$F$8,$H$8,$J$6,$F$6,$H$6)</f>
        <v>7.81</v>
      </c>
      <c r="D105" s="4">
        <v>0</v>
      </c>
      <c r="E105" s="7"/>
      <c r="J105" s="3" t="s">
        <v>38</v>
      </c>
      <c r="K105" s="5">
        <f>MIN($J$12,$F$12,$H$12,$J$8,$F$8,$H$8,$J$6,$F$6,$H$6)</f>
        <v>4.24</v>
      </c>
      <c r="L105" s="4">
        <v>0</v>
      </c>
      <c r="M105" s="7"/>
      <c r="R105" s="3" t="s">
        <v>43</v>
      </c>
      <c r="S105" s="5">
        <f>AVERAGE($I$11,$D$11,$C$11,$I$7,$D$7,$C$7,$I$9,$D$9,$C$9)</f>
        <v>7.5711111111111116</v>
      </c>
      <c r="T105" s="4">
        <v>0</v>
      </c>
      <c r="U105" s="7"/>
    </row>
    <row r="106" spans="2:22" x14ac:dyDescent="0.2">
      <c r="B106" s="3" t="s">
        <v>48</v>
      </c>
      <c r="C106" s="5">
        <f>MAX($J$13,$F$13,$H$13,$J$10,$F$10,$H$10,$J$5,$F$5,$H$5,$J$4,$F$4,$H$4)</f>
        <v>9.85</v>
      </c>
      <c r="D106" s="8">
        <f>MAX($K$13,$G$13,$E$13,$K$10,$G$10,$E$10,$K$5,$G$5,$E$5,$K$4,$G$4,$E$4)</f>
        <v>7.07</v>
      </c>
      <c r="E106" s="4">
        <v>0</v>
      </c>
      <c r="J106" s="3" t="s">
        <v>48</v>
      </c>
      <c r="K106" s="5">
        <f>MIN($J$13,$F$13,$H$13,$J$10,$F$10,$H$10,$J$5,$F$5,$H$5,$J$4,$F$4,$H$4)</f>
        <v>3</v>
      </c>
      <c r="L106" s="8">
        <f>MIN($K$13,$G$13,$E$13,$K$10,$G$10,$E$10,$K$5,$G$5,$E$5,$K$4,$G$4,$E$4)</f>
        <v>2.83</v>
      </c>
      <c r="M106" s="4">
        <v>0</v>
      </c>
      <c r="R106" s="3" t="s">
        <v>49</v>
      </c>
      <c r="S106" s="8">
        <f>AVERAGE($I$13,$D$13,$C$13,$I$12,$D$12,$C$12,$I$8,$D$8,$C$8,$I$6,$D$6,$C$6)</f>
        <v>5.25</v>
      </c>
      <c r="T106" s="5">
        <f>AVERAGE($J$13,$F$13,$H$13,$J$12,$F$12,$H$12,$J$8,$F$8,$H$8,$J$6,$F$6,$H$6)</f>
        <v>5.6750000000000007</v>
      </c>
      <c r="U106" s="4">
        <v>0</v>
      </c>
    </row>
    <row r="108" spans="2:22" x14ac:dyDescent="0.2">
      <c r="B108" s="6" t="s">
        <v>50</v>
      </c>
      <c r="J108" s="6" t="s">
        <v>50</v>
      </c>
      <c r="R108" s="6" t="s">
        <v>50</v>
      </c>
    </row>
    <row r="109" spans="2:22" x14ac:dyDescent="0.2">
      <c r="B109" s="6" t="s">
        <v>51</v>
      </c>
      <c r="J109" s="6" t="s">
        <v>52</v>
      </c>
      <c r="R109" s="6" t="s">
        <v>53</v>
      </c>
    </row>
    <row r="111" spans="2:22" x14ac:dyDescent="0.2">
      <c r="B111" s="2" t="s">
        <v>13</v>
      </c>
      <c r="C111" s="2" t="s">
        <v>43</v>
      </c>
      <c r="D111" s="2" t="s">
        <v>54</v>
      </c>
      <c r="J111" s="2" t="s">
        <v>13</v>
      </c>
      <c r="K111" s="2" t="s">
        <v>43</v>
      </c>
      <c r="L111" s="2" t="s">
        <v>54</v>
      </c>
      <c r="R111" s="2" t="s">
        <v>13</v>
      </c>
      <c r="S111" s="2" t="s">
        <v>43</v>
      </c>
      <c r="T111" s="2" t="s">
        <v>55</v>
      </c>
    </row>
    <row r="112" spans="2:22" x14ac:dyDescent="0.2">
      <c r="B112" s="3" t="s">
        <v>43</v>
      </c>
      <c r="C112" s="4">
        <v>0</v>
      </c>
      <c r="D112" s="7"/>
      <c r="J112" s="3" t="s">
        <v>43</v>
      </c>
      <c r="K112" s="4">
        <v>0</v>
      </c>
      <c r="L112" s="7"/>
      <c r="R112" s="3" t="s">
        <v>43</v>
      </c>
      <c r="S112" s="4">
        <v>0</v>
      </c>
      <c r="T112" s="7"/>
    </row>
    <row r="113" spans="2:20" x14ac:dyDescent="0.2">
      <c r="B113" s="3" t="s">
        <v>54</v>
      </c>
      <c r="C113" s="8">
        <f>MAX($J$13,$F$13,$H$13,$J$10,$F$10,$H$10,$J$5,$F$5,$H$5,$J$4,$F$4,$H$4,$J$12,$F$12,$H$12,$J$8,$F$8,$H$8,$J$6,$F$6,$H$6)</f>
        <v>9.85</v>
      </c>
      <c r="D113" s="4">
        <v>0</v>
      </c>
      <c r="J113" s="3" t="s">
        <v>54</v>
      </c>
      <c r="K113" s="8">
        <f>MIN($J$13,$F$13,$H$13,$J$10,$F$10,$H$10,$J$5,$F$5,$H$5,$J$4,$F$4,$H$4,$J$12,$F$12,$H$12,$J$8,$F$8,$H$8,$J$6,$F$6,$H$6)</f>
        <v>3</v>
      </c>
      <c r="L113" s="4">
        <v>0</v>
      </c>
      <c r="R113" s="3" t="s">
        <v>55</v>
      </c>
      <c r="S113" s="8">
        <f>AVERAGE($J$13,$F$13,$H$13,$J$12,$F$12,$H$12,$J$8,$F$8,$H$8,$J$6,$F$6,$H$6,$J$10,$F$10,$H$10,$J$5,$F$5,$H$5,$J$4,$F$4,$H$4)</f>
        <v>6.4876190476190478</v>
      </c>
      <c r="T113" s="4">
        <v>0</v>
      </c>
    </row>
    <row r="115" spans="2:20" x14ac:dyDescent="0.2">
      <c r="B115" s="11" t="s">
        <v>56</v>
      </c>
      <c r="J115" s="11" t="s">
        <v>57</v>
      </c>
      <c r="R115" s="11" t="s">
        <v>58</v>
      </c>
    </row>
    <row r="116" spans="2:20" x14ac:dyDescent="0.2">
      <c r="B116" s="12" t="s">
        <v>59</v>
      </c>
      <c r="J116" s="12" t="s">
        <v>59</v>
      </c>
      <c r="R116" s="12" t="s">
        <v>59</v>
      </c>
    </row>
    <row r="118" spans="2:20" ht="22" customHeight="1" x14ac:dyDescent="0.2">
      <c r="B118" s="16" t="s">
        <v>60</v>
      </c>
      <c r="J118" s="17" t="s">
        <v>61</v>
      </c>
      <c r="R118" s="18" t="s">
        <v>62</v>
      </c>
    </row>
  </sheetData>
  <pageMargins left="0.75" right="0.75" top="1" bottom="1" header="0.511811023622047" footer="0.511811023622047"/>
  <pageSetup paperSize="9" orientation="portrait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Afarrel Febryan Ghiffari Putra Andy</cp:lastModifiedBy>
  <cp:revision>0</cp:revision>
  <dcterms:created xsi:type="dcterms:W3CDTF">2026-03-17T05:01:51Z</dcterms:created>
  <dcterms:modified xsi:type="dcterms:W3CDTF">2026-03-18T13:44:29Z</dcterms:modified>
  <dc:language>en-US</dc:language>
</cp:coreProperties>
</file>