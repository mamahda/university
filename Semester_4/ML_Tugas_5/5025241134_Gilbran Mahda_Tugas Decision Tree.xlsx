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T Gini Index" sheetId="1" state="visible" r:id="rId3"/>
    <sheet name="DT Entropy - Gai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<sst xmlns="http://schemas.openxmlformats.org/spreadsheetml/2006/main" count="712" uniqueCount="136">
  <si>
    <t xml:space="preserve">TABEL YANG MEMPENGARUHI KEMENANGAN OLAHRAGA</t>
  </si>
  <si>
    <t xml:space="preserve">NO</t>
  </si>
  <si>
    <t xml:space="preserve">PELATIH</t>
  </si>
  <si>
    <t xml:space="preserve">KANDANG SENDIRI</t>
  </si>
  <si>
    <t xml:space="preserve">LATIHAN</t>
  </si>
  <si>
    <t xml:space="preserve">STAMINA</t>
  </si>
  <si>
    <t xml:space="preserve">MENTAL</t>
  </si>
  <si>
    <t xml:space="preserve">MENANG</t>
  </si>
  <si>
    <t xml:space="preserve">Pengertian</t>
  </si>
  <si>
    <t xml:space="preserve">Ya</t>
  </si>
  <si>
    <t xml:space="preserve">Rutin</t>
  </si>
  <si>
    <t xml:space="preserve">Kuat</t>
  </si>
  <si>
    <t xml:space="preserve">PD</t>
  </si>
  <si>
    <t xml:space="preserve">Menekan</t>
  </si>
  <si>
    <t xml:space="preserve">Tidak</t>
  </si>
  <si>
    <t xml:space="preserve">Tidak Ada</t>
  </si>
  <si>
    <t xml:space="preserve">Lemah</t>
  </si>
  <si>
    <t xml:space="preserve">Grogi</t>
  </si>
  <si>
    <t xml:space="preserve">…..</t>
  </si>
  <si>
    <t xml:space="preserve">….</t>
  </si>
  <si>
    <t xml:space="preserve">Jarang</t>
  </si>
  <si>
    <t xml:space="preserve">Tugas 1: Kerjakan menggunakan impurity Gini Index!</t>
  </si>
  <si>
    <t xml:space="preserve">Tugas 2: Kerjakan menggunakan impurity Entropy!</t>
  </si>
  <si>
    <t xml:space="preserve">GINI INDEX</t>
  </si>
  <si>
    <t xml:space="preserve">Find Minimum Gini Split</t>
  </si>
  <si>
    <t xml:space="preserve">Root</t>
  </si>
  <si>
    <t xml:space="preserve">Gini Index</t>
  </si>
  <si>
    <t xml:space="preserve">Gini Split</t>
  </si>
  <si>
    <t xml:space="preserve">Pelatih (Pengertian)</t>
  </si>
  <si>
    <t xml:space="preserve">p(j|t)</t>
  </si>
  <si>
    <t xml:space="preserve">Pelatih (Menekan)</t>
  </si>
  <si>
    <t xml:space="preserve">Pelatih</t>
  </si>
  <si>
    <t xml:space="preserve">Kandang Sendiri (Ya)</t>
  </si>
  <si>
    <t xml:space="preserve">Kandang Sendiri (Tidak)</t>
  </si>
  <si>
    <t xml:space="preserve">Kandang Sendiri</t>
  </si>
  <si>
    <t xml:space="preserve">Latihan (Rutin)</t>
  </si>
  <si>
    <t xml:space="preserve">Latihan (Jarang)</t>
  </si>
  <si>
    <t xml:space="preserve">Latihan (Tidak Ada)</t>
  </si>
  <si>
    <t xml:space="preserve">Latihan</t>
  </si>
  <si>
    <t xml:space="preserve">Stamina (Kuat)</t>
  </si>
  <si>
    <t xml:space="preserve">Stamina (Lemah)</t>
  </si>
  <si>
    <t xml:space="preserve">Stamina</t>
  </si>
  <si>
    <t xml:space="preserve">Mental (PD)</t>
  </si>
  <si>
    <t xml:space="preserve">Mental (Grogi)</t>
  </si>
  <si>
    <t xml:space="preserve">Mental</t>
  </si>
  <si>
    <t xml:space="preserve">PREDIKSI:</t>
  </si>
  <si>
    <t xml:space="preserve">Data 13: Mental=Grogi -&gt; Tidak</t>
  </si>
  <si>
    <t xml:space="preserve">Data 14: Mental=PD, Latihan=Tidak Ada -&gt; Tidak</t>
  </si>
  <si>
    <t xml:space="preserve">VISUALISASI DECISION TREE - GINI INDEX (Gini Split)</t>
  </si>
  <si>
    <t xml:space="preserve">Rumus Gini Index:</t>
  </si>
  <si>
    <t xml:space="preserve">Gini(t) = 1 - Sum[p(j|t)]^2 </t>
  </si>
  <si>
    <t xml:space="preserve">Rumus Gini Split:</t>
  </si>
  <si>
    <t xml:space="preserve">Gini Split(A) = Sum[(|Sv|/|S|) x Gini(Sv)]</t>
  </si>
  <si>
    <t xml:space="preserve">Kriteria:</t>
  </si>
  <si>
    <t xml:space="preserve">Pilih atribut dengan Gini Split MINIMUM</t>
  </si>
  <si>
    <t xml:space="preserve">Total Data = 12, Menang: Ya = 7, Tidak = 5</t>
  </si>
  <si>
    <t xml:space="preserve">Gini(S) = 1 - (7/12)² - (5/12)² = 0.4861</t>
  </si>
  <si>
    <t xml:space="preserve">Perhitungan Gini Split per atribut (Root):</t>
  </si>
  <si>
    <t xml:space="preserve">Atribut</t>
  </si>
  <si>
    <t xml:space="preserve">Perhitungan Gini Split</t>
  </si>
  <si>
    <t xml:space="preserve">= (7/12) × Gini(Pengertian) + (5/12) × Gini(Menekan)</t>
  </si>
  <si>
    <t xml:space="preserve">= (8/12) × Gini(Ya) + (4/12) × Gini(Tidak)</t>
  </si>
  <si>
    <t xml:space="preserve">= (8/12) × Gini(Rutin) + (3/12) × Gini(Jarang) + (1/12) × Gini(Tidak Ada)</t>
  </si>
  <si>
    <t xml:space="preserve">= (5/12) × Gini(Kuat) + (7/12) × Gini(Lemah)</t>
  </si>
  <si>
    <t xml:space="preserve">= (8/12) × Gini(PD) + (4/12) × Gini(Grogi)</t>
  </si>
  <si>
    <t xml:space="preserve">Atribut terpilih: Mental (Gini Split MINIMUM = 0.1458)</t>
  </si>
  <si>
    <t xml:space="preserve">TREE DIAGRAM:</t>
  </si>
  <si>
    <t xml:space="preserve">Gini Split = 0.1458</t>
  </si>
  <si>
    <t xml:space="preserve">8 data</t>
  </si>
  <si>
    <t xml:space="preserve">4 data</t>
  </si>
  <si>
    <t xml:space="preserve">Ya = 7, Tidak = 1</t>
  </si>
  <si>
    <t xml:space="preserve">Ya = 0, Tidak = 4</t>
  </si>
  <si>
    <t xml:space="preserve">Gini = 0.2188</t>
  </si>
  <si>
    <t xml:space="preserve">Gini = 0.0000 (Pure)</t>
  </si>
  <si>
    <t xml:space="preserve">Split lagi...</t>
  </si>
  <si>
    <t xml:space="preserve">LEAF: TIDAK</t>
  </si>
  <si>
    <t xml:space="preserve">Subset Mental = PD (8 data), Gini(S_PD) = 0.2188</t>
  </si>
  <si>
    <t xml:space="preserve">Perhitungan Gini Split per atribut (subset PD):</t>
  </si>
  <si>
    <t xml:space="preserve">= (5/8) × Gini(Pengertian) + (3/8) × Gini(Menekan)</t>
  </si>
  <si>
    <t xml:space="preserve">= (6/8) × Gini(Ya) + (2/8) × Gini(Tidak)</t>
  </si>
  <si>
    <t xml:space="preserve">= (6/8) × Gini(Rutin) + (1/8) × Gini(Jarang) + (1/8) × Gini(Tidak Ada)</t>
  </si>
  <si>
    <t xml:space="preserve">= (4/8) × Gini(Kuat) + (4/8) × Gini(Lemah)</t>
  </si>
  <si>
    <t xml:space="preserve">Atribut terpilih: Latihan (Gini Split MINIMUM = 0.0000, perfect split)</t>
  </si>
  <si>
    <t xml:space="preserve">Gini Split = 0.0000</t>
  </si>
  <si>
    <t xml:space="preserve">6 data</t>
  </si>
  <si>
    <t xml:space="preserve">1 data</t>
  </si>
  <si>
    <t xml:space="preserve">Ya = 6, Tidak = 0</t>
  </si>
  <si>
    <t xml:space="preserve">Ya = 1, Tidak = 0</t>
  </si>
  <si>
    <t xml:space="preserve">Ya = 0, Tidak = 1</t>
  </si>
  <si>
    <t xml:space="preserve">LEAF: YA</t>
  </si>
  <si>
    <t xml:space="preserve">Prediksi Data Uji</t>
  </si>
  <si>
    <t xml:space="preserve">Record</t>
  </si>
  <si>
    <t xml:space="preserve">Path di Decision Tree</t>
  </si>
  <si>
    <t xml:space="preserve">Prediksi</t>
  </si>
  <si>
    <t xml:space="preserve">Data 13</t>
  </si>
  <si>
    <t xml:space="preserve">Mental = Grogi, LEAF langsung (Gini = 0, semua Grogi = Tidak)</t>
  </si>
  <si>
    <t xml:space="preserve">TIDAK</t>
  </si>
  <si>
    <t xml:space="preserve">Data 14</t>
  </si>
  <si>
    <t xml:space="preserve">Mental = PD, Latihan = Tidak Ada, LEAF (Gini = 0, Tidak Ada = Tidak)</t>
  </si>
  <si>
    <t xml:space="preserve">Entropy</t>
  </si>
  <si>
    <t xml:space="preserve">Find Maximum Gain</t>
  </si>
  <si>
    <t xml:space="preserve">Ya =</t>
  </si>
  <si>
    <t xml:space="preserve">Tidak =</t>
  </si>
  <si>
    <t xml:space="preserve">Entropy(S)</t>
  </si>
  <si>
    <t xml:space="preserve">Gain</t>
  </si>
  <si>
    <t xml:space="preserve">Entropy(S_PD)</t>
  </si>
  <si>
    <t xml:space="preserve">VISUALISASI DECISION TREE - ENTROPY (Information Gain)</t>
  </si>
  <si>
    <t xml:space="preserve">Rumus Entropy:</t>
  </si>
  <si>
    <t xml:space="preserve">Entropy(S) = -Sum[p(j) x log2(p(j))]</t>
  </si>
  <si>
    <t xml:space="preserve">Rumus Information Gain:</t>
  </si>
  <si>
    <t xml:space="preserve">Gain(A) = Entropy(S) - Sum[(|Sv|/|S|) x Entropy(Sv)]</t>
  </si>
  <si>
    <t xml:space="preserve">Pilih atribut dengan Information Gain MAKSIMUM</t>
  </si>
  <si>
    <t xml:space="preserve">Entropy(S) = -(7/12)×log₂(7/12) - (5/12)×log₂(5/12) = 0.9799</t>
  </si>
  <si>
    <t xml:space="preserve">Perhitungan Information Gain per atribut (Root):</t>
  </si>
  <si>
    <t xml:space="preserve">Perhitungan Gain = Entropy(S) - Sum(Sv/S) x Entropy(Sv)</t>
  </si>
  <si>
    <t xml:space="preserve">= 0.9799 - [(7/12) × Ent(Pengertian) + (5/12) × Ent(Menekan)]</t>
  </si>
  <si>
    <t xml:space="preserve">= 0.9799 - [(8/12) × Ent(Ya) + (4/12) × Ent(Tidak)]</t>
  </si>
  <si>
    <t xml:space="preserve">= 0.9799 - [(8/12) × Ent(Rutin) + (3/12) × Ent(Jarang) + (1/12) × Ent(Tidak Ada)]</t>
  </si>
  <si>
    <t xml:space="preserve">= 0.9799 - [(5/12) × Ent(Kuat) + (7/12) × Ent(Lemah)]</t>
  </si>
  <si>
    <t xml:space="preserve">= 0.9799 - [(8/12) × Ent(PD) + (4/12) × Ent(Grogi)]</t>
  </si>
  <si>
    <t xml:space="preserve">Atribut terpilih: Mental (Information Gain MAKSIMUM = 0.6175)</t>
  </si>
  <si>
    <t xml:space="preserve">Gain = 0.6175</t>
  </si>
  <si>
    <t xml:space="preserve">Entropy = 0.5436</t>
  </si>
  <si>
    <t xml:space="preserve">Entropy = 0.0000 (Pure)</t>
  </si>
  <si>
    <t xml:space="preserve">Split</t>
  </si>
  <si>
    <t xml:space="preserve">Subset Mental = PD (8 data), Entropy(S_PD) = 0.5436</t>
  </si>
  <si>
    <t xml:space="preserve">Perhitungan Information Gain per atribut (subset PD):</t>
  </si>
  <si>
    <t xml:space="preserve">Perhitungan Gain = Entropy(S_PD) - Sum(Sv/S) x Entropy(Sv)</t>
  </si>
  <si>
    <t xml:space="preserve">= 0.5436 - [(5/8) × Ent(Pengertian) + (3/8) × Ent(Menekan)]</t>
  </si>
  <si>
    <t xml:space="preserve">= 0.5436 - [(6/8) × Ent(Ya) + (2/8) × Ent(Tidak)]</t>
  </si>
  <si>
    <t xml:space="preserve">= 0.5436 - [(6/8) × Ent(Rutin) + (1/8) × Ent(Jarang) + (1/8) × Ent(Tidak Ada)]</t>
  </si>
  <si>
    <t xml:space="preserve">= 0.5436 - [(4/8) × Ent(Kuat) + (4/8) × Ent(Lemah)]</t>
  </si>
  <si>
    <t xml:space="preserve">Atribut terpilih: Latihan (Information Gain MAKSIMUM = 0.5436, perfect split)</t>
  </si>
  <si>
    <t xml:space="preserve">Gain = 0.5436</t>
  </si>
  <si>
    <t xml:space="preserve">Mental = Grogi, LEAF langsung (Entropy = 0, semua Grogi = Tidak)</t>
  </si>
  <si>
    <t xml:space="preserve">Mental = PD, Latihan = Tidak Ada, LEAF (Entropy = 0, Tidak Ada = Tidak)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</si>
</sst>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42"/>
      <color rgb="FF000000"/>
      <name val="Calibr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2">
    <border diagonalUp="false" diagonalDown="false">
      <left/>
      <right/>
      <top/>
      <bottom/>
      <diagonal/>
    </border>
    <border diagonalUp="false" diagonalDown="false">
      <left/>
      <right style="thin">
        <color rgb="FF808080"/>
      </right>
      <top/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 diagonalUp="false" diagonalDown="false">
      <left style="thin">
        <color rgb="FF808080"/>
      </left>
      <right/>
      <top/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/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808080"/>
      </left>
      <right/>
      <top style="thin">
        <color rgb="FF808080"/>
      </top>
      <bottom/>
      <diagonal/>
    </border>
    <border diagonalUp="false" diagonalDown="false">
      <left/>
      <right/>
      <top/>
      <bottom style="medium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  <border diagonalUp="false" diagonalDown="false">
      <left style="medium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/>
      <bottom/>
      <diagonal/>
    </border>
    <border diagonalUp="false" diagonalDown="false">
      <left style="thin">
        <color rgb="FF808080"/>
      </left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808080"/>
      </left>
      <right style="medium">
        <color rgb="FF808080"/>
      </right>
      <top style="thin">
        <color rgb="FF808080"/>
      </top>
      <bottom/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/>
      <top style="medium">
        <color rgb="FF808080"/>
      </top>
      <bottom/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 diagonalUp="false" diagonalDown="false">
      <left/>
      <right style="thin">
        <color rgb="FF808080"/>
      </right>
      <top style="medium">
        <color rgb="FF808080"/>
      </top>
      <bottom/>
      <diagonal/>
    </border>
    <border diagonalUp="false" diagonalDown="false">
      <left/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3:G15" headerRowCount="1" totalsRowCount="0" totalsRowShown="0">
  <autoFilter ref="A3:G15"/>
  <tableColumns count="7">
    <tableColumn id="1" name="NO"/>
    <tableColumn id="2" name="PELATIH"/>
    <tableColumn id="3" name="KANDANG SENDIRI"/>
    <tableColumn id="4" name="LATIHAN"/>
    <tableColumn id="5" name="STAMINA"/>
    <tableColumn id="6" name="MENTAL"/>
    <tableColumn id="7" name="MENANG"/>
  </tableColumns>
</table>
</file>

<file path=xl/tables/table2.xml><?xml version="1.0" encoding="utf-8"?>
<table xmlns="http://schemas.openxmlformats.org/spreadsheetml/2006/main" id="2" name="Table1_2" displayName="Table1_2" ref="A3:G15" headerRowCount="1" totalsRowCount="0" totalsRowShown="0">
  <autoFilter ref="A3:G15"/>
  <tableColumns count="7">
    <tableColumn id="1" name="NO"/>
    <tableColumn id="2" name="PELATIH"/>
    <tableColumn id="3" name="KANDANG SENDIRI"/>
    <tableColumn id="4" name="LATIHAN"/>
    <tableColumn id="5" name="STAMINA"/>
    <tableColumn id="6" name="MENTAL"/>
    <tableColumn id="7" name="MENAN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8.3046875" defaultRowHeight="14.25" customHeight="false" zeroHeight="false" outlineLevelRow="0" outlineLevelCol="0"/>
  <cols>
    <col collapsed="false" customWidth="true" hidden="false" outlineLevel="0" max="1" min="1" style="1" width="12.89"/>
    <col collapsed="false" customWidth="true" hidden="false" outlineLevel="0" max="2" min="2" style="1" width="9.66"/>
    <col collapsed="false" customWidth="true" hidden="false" outlineLevel="0" max="3" min="3" style="1" width="15.47"/>
    <col collapsed="false" customWidth="true" hidden="false" outlineLevel="0" max="4" min="4" style="1" width="10.13"/>
    <col collapsed="false" customWidth="true" hidden="false" outlineLevel="0" max="5" min="5" style="1" width="10.53"/>
    <col collapsed="false" customWidth="true" hidden="false" outlineLevel="0" max="6" min="6" style="1" width="9.87"/>
    <col collapsed="false" customWidth="true" hidden="false" outlineLevel="0" max="7" min="7" style="1" width="10.53"/>
    <col collapsed="false" customWidth="false" hidden="false" outlineLevel="0" max="9" min="8" style="1" width="8.3"/>
    <col collapsed="false" customWidth="true" hidden="false" outlineLevel="0" max="10" min="10" style="1" width="10.87"/>
    <col collapsed="false" customWidth="false" hidden="false" outlineLevel="0" max="15" min="11" style="1" width="8.3"/>
    <col collapsed="false" customWidth="true" hidden="false" outlineLevel="0" max="16" min="16" style="1" width="16.13"/>
    <col collapsed="false" customWidth="false" hidden="false" outlineLevel="0" max="16384" min="17" style="1" width="8.3"/>
  </cols>
  <sheetData>
    <row r="1" customFormat="false" ht="14.2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14.25" hidden="false" customHeight="false" outlineLevel="0" collapsed="false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I3" s="6" t="s">
        <v>1</v>
      </c>
      <c r="J3" s="6" t="s">
        <v>2</v>
      </c>
      <c r="K3" s="6" t="s">
        <v>3</v>
      </c>
      <c r="L3" s="6" t="s">
        <v>4</v>
      </c>
      <c r="M3" s="6" t="s">
        <v>5</v>
      </c>
      <c r="N3" s="6" t="s">
        <v>6</v>
      </c>
      <c r="O3" s="6" t="s">
        <v>7</v>
      </c>
    </row>
    <row r="4" customFormat="false" ht="14.25" hidden="false" customHeight="false" outlineLevel="0" collapsed="false">
      <c r="A4" s="7" t="n">
        <v>1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9" t="s">
        <v>9</v>
      </c>
      <c r="I4" s="10" t="n">
        <v>13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</row>
    <row r="5" customFormat="false" ht="14.25" hidden="false" customHeight="false" outlineLevel="0" collapsed="false">
      <c r="A5" s="7" t="n">
        <v>2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17</v>
      </c>
      <c r="G5" s="9" t="s">
        <v>14</v>
      </c>
      <c r="I5" s="11" t="n">
        <v>14</v>
      </c>
      <c r="J5" s="1" t="s">
        <v>13</v>
      </c>
      <c r="K5" s="1" t="s">
        <v>9</v>
      </c>
      <c r="L5" s="1" t="s">
        <v>15</v>
      </c>
      <c r="M5" s="1" t="s">
        <v>11</v>
      </c>
      <c r="N5" s="1" t="s">
        <v>12</v>
      </c>
      <c r="O5" s="1" t="s">
        <v>19</v>
      </c>
    </row>
    <row r="6" customFormat="false" ht="14.25" hidden="false" customHeight="false" outlineLevel="0" collapsed="false">
      <c r="A6" s="7" t="n">
        <v>3</v>
      </c>
      <c r="B6" s="8" t="s">
        <v>8</v>
      </c>
      <c r="C6" s="8" t="s">
        <v>9</v>
      </c>
      <c r="D6" s="8" t="s">
        <v>10</v>
      </c>
      <c r="E6" s="8" t="s">
        <v>16</v>
      </c>
      <c r="F6" s="8" t="s">
        <v>12</v>
      </c>
      <c r="G6" s="9" t="s">
        <v>9</v>
      </c>
    </row>
    <row r="7" customFormat="false" ht="14.25" hidden="false" customHeight="false" outlineLevel="0" collapsed="false">
      <c r="A7" s="7" t="n">
        <v>4</v>
      </c>
      <c r="B7" s="8" t="s">
        <v>8</v>
      </c>
      <c r="C7" s="8" t="s">
        <v>9</v>
      </c>
      <c r="D7" s="8" t="s">
        <v>20</v>
      </c>
      <c r="E7" s="8" t="s">
        <v>16</v>
      </c>
      <c r="F7" s="8" t="s">
        <v>12</v>
      </c>
      <c r="G7" s="9" t="s">
        <v>9</v>
      </c>
    </row>
    <row r="8" customFormat="false" ht="14.25" hidden="false" customHeight="false" outlineLevel="0" collapsed="false">
      <c r="A8" s="7" t="n">
        <v>5</v>
      </c>
      <c r="B8" s="8" t="s">
        <v>8</v>
      </c>
      <c r="C8" s="8" t="s">
        <v>9</v>
      </c>
      <c r="D8" s="8" t="s">
        <v>15</v>
      </c>
      <c r="E8" s="8" t="s">
        <v>16</v>
      </c>
      <c r="F8" s="8" t="s">
        <v>12</v>
      </c>
      <c r="G8" s="9" t="s">
        <v>14</v>
      </c>
      <c r="I8" s="12" t="s">
        <v>21</v>
      </c>
    </row>
    <row r="9" customFormat="false" ht="14.25" hidden="false" customHeight="false" outlineLevel="0" collapsed="false">
      <c r="A9" s="7" t="n">
        <v>6</v>
      </c>
      <c r="B9" s="8" t="s">
        <v>8</v>
      </c>
      <c r="C9" s="8" t="s">
        <v>14</v>
      </c>
      <c r="D9" s="8" t="s">
        <v>10</v>
      </c>
      <c r="E9" s="8" t="s">
        <v>11</v>
      </c>
      <c r="F9" s="8" t="s">
        <v>12</v>
      </c>
      <c r="G9" s="9" t="s">
        <v>9</v>
      </c>
      <c r="I9" s="12" t="s">
        <v>22</v>
      </c>
    </row>
    <row r="10" customFormat="false" ht="14.25" hidden="false" customHeight="false" outlineLevel="0" collapsed="false">
      <c r="A10" s="7" t="n">
        <v>7</v>
      </c>
      <c r="B10" s="8" t="s">
        <v>8</v>
      </c>
      <c r="C10" s="8" t="s">
        <v>14</v>
      </c>
      <c r="D10" s="8" t="s">
        <v>20</v>
      </c>
      <c r="E10" s="8" t="s">
        <v>16</v>
      </c>
      <c r="F10" s="8" t="s">
        <v>17</v>
      </c>
      <c r="G10" s="9" t="s">
        <v>14</v>
      </c>
    </row>
    <row r="11" customFormat="false" ht="14.25" hidden="false" customHeight="false" outlineLevel="0" collapsed="false">
      <c r="A11" s="7" t="n">
        <v>8</v>
      </c>
      <c r="B11" s="8" t="s">
        <v>13</v>
      </c>
      <c r="C11" s="8" t="s">
        <v>9</v>
      </c>
      <c r="D11" s="8" t="s">
        <v>10</v>
      </c>
      <c r="E11" s="8" t="s">
        <v>16</v>
      </c>
      <c r="F11" s="8" t="s">
        <v>12</v>
      </c>
      <c r="G11" s="9" t="s">
        <v>9</v>
      </c>
    </row>
    <row r="12" customFormat="false" ht="14.25" hidden="false" customHeight="false" outlineLevel="0" collapsed="false">
      <c r="A12" s="7" t="n">
        <v>9</v>
      </c>
      <c r="B12" s="8" t="s">
        <v>13</v>
      </c>
      <c r="C12" s="8" t="s">
        <v>14</v>
      </c>
      <c r="D12" s="8" t="s">
        <v>10</v>
      </c>
      <c r="E12" s="8" t="s">
        <v>16</v>
      </c>
      <c r="F12" s="8" t="s">
        <v>17</v>
      </c>
      <c r="G12" s="9" t="s">
        <v>14</v>
      </c>
    </row>
    <row r="13" customFormat="false" ht="14.25" hidden="false" customHeight="false" outlineLevel="0" collapsed="false">
      <c r="A13" s="7" t="n">
        <v>10</v>
      </c>
      <c r="B13" s="8" t="s">
        <v>13</v>
      </c>
      <c r="C13" s="8" t="s">
        <v>9</v>
      </c>
      <c r="D13" s="8" t="s">
        <v>20</v>
      </c>
      <c r="E13" s="8" t="s">
        <v>16</v>
      </c>
      <c r="F13" s="8" t="s">
        <v>17</v>
      </c>
      <c r="G13" s="9" t="s">
        <v>14</v>
      </c>
    </row>
    <row r="14" customFormat="false" ht="14.25" hidden="false" customHeight="false" outlineLevel="0" collapsed="false">
      <c r="A14" s="7" t="n">
        <v>11</v>
      </c>
      <c r="B14" s="8" t="s">
        <v>13</v>
      </c>
      <c r="C14" s="8" t="s">
        <v>9</v>
      </c>
      <c r="D14" s="8" t="s">
        <v>10</v>
      </c>
      <c r="E14" s="8" t="s">
        <v>11</v>
      </c>
      <c r="F14" s="8" t="s">
        <v>12</v>
      </c>
      <c r="G14" s="9" t="s">
        <v>9</v>
      </c>
    </row>
    <row r="15" customFormat="false" ht="14.25" hidden="false" customHeight="false" outlineLevel="0" collapsed="false">
      <c r="A15" s="13" t="n">
        <v>12</v>
      </c>
      <c r="B15" s="14" t="s">
        <v>13</v>
      </c>
      <c r="C15" s="14" t="s">
        <v>14</v>
      </c>
      <c r="D15" s="14" t="s">
        <v>10</v>
      </c>
      <c r="E15" s="14" t="s">
        <v>11</v>
      </c>
      <c r="F15" s="14" t="s">
        <v>12</v>
      </c>
      <c r="G15" s="15" t="s">
        <v>9</v>
      </c>
    </row>
    <row r="17" customFormat="false" ht="13.8" hidden="false" customHeight="false" outlineLevel="0" collapsed="false">
      <c r="A17" s="16" t="s">
        <v>23</v>
      </c>
      <c r="B17" s="16"/>
      <c r="C17" s="16"/>
      <c r="D17" s="16"/>
      <c r="E17" s="16"/>
      <c r="F17" s="16"/>
      <c r="G17" s="16"/>
    </row>
    <row r="18" customFormat="false" ht="13.8" hidden="false" customHeight="false" outlineLevel="0" collapsed="false">
      <c r="A18" s="16"/>
      <c r="B18" s="16"/>
      <c r="C18" s="16"/>
      <c r="D18" s="16"/>
      <c r="E18" s="16"/>
      <c r="F18" s="16"/>
      <c r="G18" s="16"/>
    </row>
    <row r="19" customFormat="false" ht="13.8" hidden="false" customHeight="false" outlineLevel="0" collapsed="false">
      <c r="A19" s="16"/>
      <c r="B19" s="16"/>
      <c r="C19" s="16"/>
      <c r="D19" s="16"/>
      <c r="E19" s="16"/>
      <c r="F19" s="16"/>
      <c r="G19" s="16"/>
    </row>
    <row r="20" customFormat="false" ht="13.8" hidden="false" customHeight="false" outlineLevel="0" collapsed="false">
      <c r="P20" s="17" t="s">
        <v>24</v>
      </c>
    </row>
    <row r="21" customFormat="false" ht="15" hidden="false" customHeight="false" outlineLevel="0" collapsed="false">
      <c r="A21" s="18" t="s">
        <v>25</v>
      </c>
      <c r="B21" s="18"/>
      <c r="C21" s="18"/>
      <c r="D21" s="18"/>
      <c r="E21" s="18"/>
      <c r="F21" s="18"/>
      <c r="G21" s="18"/>
    </row>
    <row r="22" customFormat="false" ht="13.8" hidden="false" customHeight="false" outlineLevel="0" collapsed="false">
      <c r="M22" s="19" t="s">
        <v>26</v>
      </c>
      <c r="N22" s="19"/>
      <c r="P22" s="20" t="s">
        <v>27</v>
      </c>
      <c r="Q22" s="20"/>
    </row>
    <row r="23" customFormat="false" ht="13.8" hidden="false" customHeight="false" outlineLevel="0" collapsed="false">
      <c r="A23" s="21" t="s">
        <v>28</v>
      </c>
      <c r="B23" s="22"/>
      <c r="C23" s="23" t="s">
        <v>29</v>
      </c>
      <c r="E23" s="21" t="s">
        <v>30</v>
      </c>
      <c r="F23" s="22"/>
      <c r="G23" s="23" t="s">
        <v>29</v>
      </c>
      <c r="P23" s="24" t="s">
        <v>31</v>
      </c>
      <c r="Q23" s="25" t="n">
        <f aca="false">(((B24+B25)/12)*N25)+(((F24+F25)/12)*N24)</f>
        <v>0.485714285714286</v>
      </c>
    </row>
    <row r="24" customFormat="false" ht="13.8" hidden="false" customHeight="false" outlineLevel="0" collapsed="false">
      <c r="A24" s="26" t="s">
        <v>9</v>
      </c>
      <c r="B24" s="27" t="n">
        <v>4</v>
      </c>
      <c r="C24" s="28" t="n">
        <f aca="false">B24/($B$24+$B$25)</f>
        <v>0.571428571428571</v>
      </c>
      <c r="E24" s="26" t="s">
        <v>9</v>
      </c>
      <c r="F24" s="27" t="n">
        <v>3</v>
      </c>
      <c r="G24" s="28" t="n">
        <f aca="false">F24/($F$24+$F$25)</f>
        <v>0.6</v>
      </c>
      <c r="M24" s="29" t="s">
        <v>13</v>
      </c>
      <c r="N24" s="30" t="n">
        <f aca="false">1-POWER(G24,2)-POWER(G25,2)</f>
        <v>0.48</v>
      </c>
    </row>
    <row r="25" customFormat="false" ht="13.8" hidden="false" customHeight="false" outlineLevel="0" collapsed="false">
      <c r="A25" s="31" t="s">
        <v>14</v>
      </c>
      <c r="B25" s="32" t="n">
        <v>3</v>
      </c>
      <c r="C25" s="33" t="n">
        <f aca="false">B25/($B$24+$B$25)</f>
        <v>0.428571428571429</v>
      </c>
      <c r="E25" s="31" t="s">
        <v>14</v>
      </c>
      <c r="F25" s="32" t="n">
        <v>2</v>
      </c>
      <c r="G25" s="33" t="n">
        <f aca="false">F25/($F$24+$F$25)</f>
        <v>0.4</v>
      </c>
      <c r="M25" s="32" t="s">
        <v>8</v>
      </c>
      <c r="N25" s="25" t="n">
        <f aca="false">1-POWER(C24,2)-POWER(C25,2)</f>
        <v>0.489795918367347</v>
      </c>
    </row>
    <row r="26" customFormat="false" ht="13.8" hidden="false" customHeight="false" outlineLevel="0" collapsed="false"/>
    <row r="27" customFormat="false" ht="13.8" hidden="false" customHeight="false" outlineLevel="0" collapsed="false">
      <c r="A27" s="21" t="s">
        <v>32</v>
      </c>
      <c r="B27" s="22"/>
      <c r="C27" s="23" t="s">
        <v>29</v>
      </c>
      <c r="E27" s="21" t="s">
        <v>33</v>
      </c>
      <c r="F27" s="22"/>
      <c r="G27" s="23" t="s">
        <v>29</v>
      </c>
      <c r="P27" s="24" t="s">
        <v>34</v>
      </c>
      <c r="Q27" s="25" t="n">
        <f aca="false">(((B28+B29)/12)*N29)+(((F28+F29)/12)*N28)</f>
        <v>0.479166666666667</v>
      </c>
    </row>
    <row r="28" customFormat="false" ht="13.8" hidden="false" customHeight="false" outlineLevel="0" collapsed="false">
      <c r="A28" s="26" t="s">
        <v>9</v>
      </c>
      <c r="B28" s="27" t="n">
        <v>5</v>
      </c>
      <c r="C28" s="28" t="n">
        <f aca="false">B28/($B$28+$B$29)</f>
        <v>0.625</v>
      </c>
      <c r="E28" s="26" t="s">
        <v>9</v>
      </c>
      <c r="F28" s="27" t="n">
        <v>2</v>
      </c>
      <c r="G28" s="28" t="n">
        <f aca="false">F28/(F28+F29)</f>
        <v>0.5</v>
      </c>
      <c r="M28" s="29" t="s">
        <v>14</v>
      </c>
      <c r="N28" s="30" t="n">
        <f aca="false">1-POWER(G28,2)-POWER(G29,2)</f>
        <v>0.5</v>
      </c>
    </row>
    <row r="29" customFormat="false" ht="13.8" hidden="false" customHeight="false" outlineLevel="0" collapsed="false">
      <c r="A29" s="31" t="s">
        <v>14</v>
      </c>
      <c r="B29" s="32" t="n">
        <v>3</v>
      </c>
      <c r="C29" s="33" t="n">
        <f aca="false">B29/($B$28+$B$29)</f>
        <v>0.375</v>
      </c>
      <c r="E29" s="31" t="s">
        <v>14</v>
      </c>
      <c r="F29" s="32" t="n">
        <v>2</v>
      </c>
      <c r="G29" s="33" t="n">
        <f aca="false">F29/(F28+F29)</f>
        <v>0.5</v>
      </c>
      <c r="M29" s="32" t="s">
        <v>9</v>
      </c>
      <c r="N29" s="25" t="n">
        <f aca="false">1-POWER(C28,2)-POWER(C29,2)</f>
        <v>0.46875</v>
      </c>
    </row>
    <row r="30" customFormat="false" ht="13.8" hidden="false" customHeight="false" outlineLevel="0" collapsed="false"/>
    <row r="31" customFormat="false" ht="13.8" hidden="false" customHeight="false" outlineLevel="0" collapsed="false">
      <c r="A31" s="21" t="s">
        <v>35</v>
      </c>
      <c r="B31" s="22"/>
      <c r="C31" s="23" t="s">
        <v>29</v>
      </c>
      <c r="E31" s="21" t="s">
        <v>36</v>
      </c>
      <c r="F31" s="22"/>
      <c r="G31" s="23" t="s">
        <v>29</v>
      </c>
      <c r="I31" s="21" t="s">
        <v>37</v>
      </c>
      <c r="J31" s="22"/>
      <c r="K31" s="23" t="s">
        <v>29</v>
      </c>
      <c r="M31" s="29" t="s">
        <v>15</v>
      </c>
      <c r="N31" s="30" t="n">
        <f aca="false">1-POWER(K32,2)-POWER(K33,2)</f>
        <v>0</v>
      </c>
      <c r="P31" s="24" t="s">
        <v>38</v>
      </c>
      <c r="Q31" s="25" t="n">
        <f aca="false">(((B32+B33)/12)*N33)+(((F32+F33)/12)*N32)+(((J32+J33)/12)*N31)</f>
        <v>0.361111111111111</v>
      </c>
    </row>
    <row r="32" customFormat="false" ht="13.8" hidden="false" customHeight="false" outlineLevel="0" collapsed="false">
      <c r="A32" s="26" t="s">
        <v>9</v>
      </c>
      <c r="B32" s="27" t="n">
        <v>6</v>
      </c>
      <c r="C32" s="28" t="n">
        <f aca="false">B32/(B32+B33)</f>
        <v>0.75</v>
      </c>
      <c r="E32" s="26" t="s">
        <v>9</v>
      </c>
      <c r="F32" s="27" t="n">
        <v>1</v>
      </c>
      <c r="G32" s="28" t="n">
        <f aca="false">F32/(F32+F33)</f>
        <v>0.333333333333333</v>
      </c>
      <c r="I32" s="26" t="s">
        <v>9</v>
      </c>
      <c r="J32" s="27" t="n">
        <v>0</v>
      </c>
      <c r="K32" s="28" t="n">
        <f aca="false">J32/(J32+J33)</f>
        <v>0</v>
      </c>
      <c r="M32" s="27" t="s">
        <v>20</v>
      </c>
      <c r="N32" s="34" t="n">
        <f aca="false">1-POWER(G32,2)-POWER(G33,2)</f>
        <v>0.444444444444444</v>
      </c>
    </row>
    <row r="33" customFormat="false" ht="13.8" hidden="false" customHeight="false" outlineLevel="0" collapsed="false">
      <c r="A33" s="31" t="s">
        <v>14</v>
      </c>
      <c r="B33" s="32" t="n">
        <v>2</v>
      </c>
      <c r="C33" s="33" t="n">
        <f aca="false">B33/(B32+B33)</f>
        <v>0.25</v>
      </c>
      <c r="E33" s="31" t="s">
        <v>14</v>
      </c>
      <c r="F33" s="32" t="n">
        <v>2</v>
      </c>
      <c r="G33" s="33" t="n">
        <f aca="false">F33/(F32+F33)</f>
        <v>0.666666666666667</v>
      </c>
      <c r="I33" s="31" t="s">
        <v>14</v>
      </c>
      <c r="J33" s="32" t="n">
        <v>1</v>
      </c>
      <c r="K33" s="33" t="n">
        <f aca="false">J33/(J32+J33)</f>
        <v>1</v>
      </c>
      <c r="M33" s="32" t="s">
        <v>10</v>
      </c>
      <c r="N33" s="25" t="n">
        <f aca="false">1-POWER(C32,2)-POWER(C33,2)</f>
        <v>0.375</v>
      </c>
    </row>
    <row r="34" customFormat="false" ht="13.8" hidden="false" customHeight="false" outlineLevel="0" collapsed="false"/>
    <row r="35" customFormat="false" ht="13.8" hidden="false" customHeight="false" outlineLevel="0" collapsed="false">
      <c r="A35" s="21" t="s">
        <v>39</v>
      </c>
      <c r="B35" s="22"/>
      <c r="C35" s="23" t="s">
        <v>29</v>
      </c>
      <c r="E35" s="21" t="s">
        <v>40</v>
      </c>
      <c r="F35" s="22"/>
      <c r="G35" s="23" t="s">
        <v>29</v>
      </c>
      <c r="P35" s="24" t="s">
        <v>41</v>
      </c>
      <c r="Q35" s="25" t="n">
        <f aca="false">(((B36+B37)/12)*N37)+(((F36+F37)/12)*N36)</f>
        <v>0.419047619047619</v>
      </c>
    </row>
    <row r="36" customFormat="false" ht="13.8" hidden="false" customHeight="false" outlineLevel="0" collapsed="false">
      <c r="A36" s="26" t="s">
        <v>9</v>
      </c>
      <c r="B36" s="27" t="n">
        <v>4</v>
      </c>
      <c r="C36" s="28" t="n">
        <f aca="false">B36/(B36+B37)</f>
        <v>0.8</v>
      </c>
      <c r="E36" s="26" t="s">
        <v>9</v>
      </c>
      <c r="F36" s="27" t="n">
        <v>3</v>
      </c>
      <c r="G36" s="28" t="n">
        <f aca="false">F36/(F36+F37)</f>
        <v>0.428571428571429</v>
      </c>
      <c r="M36" s="29" t="s">
        <v>16</v>
      </c>
      <c r="N36" s="30" t="n">
        <f aca="false">1-POWER(G36,2)-POWER(G37,2)</f>
        <v>0.489795918367347</v>
      </c>
    </row>
    <row r="37" customFormat="false" ht="13.8" hidden="false" customHeight="false" outlineLevel="0" collapsed="false">
      <c r="A37" s="31" t="s">
        <v>14</v>
      </c>
      <c r="B37" s="32" t="n">
        <v>1</v>
      </c>
      <c r="C37" s="33" t="n">
        <f aca="false">B37/(B36+B37)</f>
        <v>0.2</v>
      </c>
      <c r="E37" s="31" t="s">
        <v>14</v>
      </c>
      <c r="F37" s="32" t="n">
        <v>4</v>
      </c>
      <c r="G37" s="33" t="n">
        <f aca="false">F37/(F36+F37)</f>
        <v>0.571428571428571</v>
      </c>
      <c r="M37" s="32" t="s">
        <v>11</v>
      </c>
      <c r="N37" s="25" t="n">
        <f aca="false">1-POWER(C36,2)-POWER(C37,2)</f>
        <v>0.32</v>
      </c>
    </row>
    <row r="38" customFormat="false" ht="13.8" hidden="false" customHeight="false" outlineLevel="0" collapsed="false"/>
    <row r="39" customFormat="false" ht="13.8" hidden="false" customHeight="false" outlineLevel="0" collapsed="false">
      <c r="A39" s="21" t="s">
        <v>42</v>
      </c>
      <c r="B39" s="22"/>
      <c r="C39" s="23" t="s">
        <v>29</v>
      </c>
      <c r="E39" s="21" t="s">
        <v>43</v>
      </c>
      <c r="F39" s="22"/>
      <c r="G39" s="23" t="s">
        <v>29</v>
      </c>
      <c r="P39" s="35" t="s">
        <v>44</v>
      </c>
      <c r="Q39" s="36" t="n">
        <f aca="false">(((B40+B41)/12)*N41)+(((F40+F41)/12)*N40)</f>
        <v>0.145833333333333</v>
      </c>
    </row>
    <row r="40" customFormat="false" ht="13.8" hidden="false" customHeight="false" outlineLevel="0" collapsed="false">
      <c r="A40" s="26" t="s">
        <v>9</v>
      </c>
      <c r="B40" s="27" t="n">
        <v>7</v>
      </c>
      <c r="C40" s="28" t="n">
        <f aca="false">B40/(B40+B41)</f>
        <v>0.875</v>
      </c>
      <c r="E40" s="26" t="s">
        <v>9</v>
      </c>
      <c r="F40" s="27" t="n">
        <v>0</v>
      </c>
      <c r="G40" s="28" t="n">
        <f aca="false">F40/(F40+F41)</f>
        <v>0</v>
      </c>
      <c r="M40" s="29" t="s">
        <v>17</v>
      </c>
      <c r="N40" s="30" t="n">
        <f aca="false">1-POWER(G40,2)-POWER(G41,2)</f>
        <v>0</v>
      </c>
    </row>
    <row r="41" customFormat="false" ht="13.8" hidden="false" customHeight="false" outlineLevel="0" collapsed="false">
      <c r="A41" s="31" t="s">
        <v>14</v>
      </c>
      <c r="B41" s="32" t="n">
        <v>1</v>
      </c>
      <c r="C41" s="33" t="n">
        <f aca="false">B41/(B40+B41)</f>
        <v>0.125</v>
      </c>
      <c r="E41" s="31" t="s">
        <v>14</v>
      </c>
      <c r="F41" s="32" t="n">
        <v>4</v>
      </c>
      <c r="G41" s="33" t="n">
        <f aca="false">F41/(F40+F41)</f>
        <v>1</v>
      </c>
      <c r="M41" s="32" t="s">
        <v>12</v>
      </c>
      <c r="N41" s="25" t="n">
        <f aca="false">1-POWER(C40,2)-POWER(C41,2)</f>
        <v>0.21875</v>
      </c>
    </row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5" hidden="false" customHeight="false" outlineLevel="0" collapsed="false">
      <c r="A44" s="37" t="s">
        <v>42</v>
      </c>
      <c r="B44" s="37"/>
      <c r="C44" s="37"/>
      <c r="D44" s="37"/>
      <c r="E44" s="37"/>
      <c r="F44" s="37"/>
      <c r="G44" s="37"/>
    </row>
    <row r="45" customFormat="false" ht="13.8" hidden="false" customHeight="false" outlineLevel="0" collapsed="false">
      <c r="A45" s="38" t="n">
        <v>1</v>
      </c>
      <c r="B45" s="39" t="s">
        <v>8</v>
      </c>
      <c r="C45" s="39" t="s">
        <v>9</v>
      </c>
      <c r="D45" s="39" t="s">
        <v>10</v>
      </c>
      <c r="E45" s="39" t="s">
        <v>11</v>
      </c>
      <c r="F45" s="39" t="s">
        <v>12</v>
      </c>
      <c r="G45" s="40" t="s">
        <v>9</v>
      </c>
    </row>
    <row r="46" customFormat="false" ht="13.8" hidden="false" customHeight="false" outlineLevel="0" collapsed="false">
      <c r="A46" s="41" t="n">
        <v>3</v>
      </c>
      <c r="B46" s="29" t="s">
        <v>8</v>
      </c>
      <c r="C46" s="29" t="s">
        <v>9</v>
      </c>
      <c r="D46" s="29" t="s">
        <v>10</v>
      </c>
      <c r="E46" s="29" t="s">
        <v>16</v>
      </c>
      <c r="F46" s="29" t="s">
        <v>12</v>
      </c>
      <c r="G46" s="42" t="s">
        <v>9</v>
      </c>
    </row>
    <row r="47" customFormat="false" ht="13.8" hidden="false" customHeight="false" outlineLevel="0" collapsed="false">
      <c r="A47" s="43" t="n">
        <v>4</v>
      </c>
      <c r="B47" s="27" t="s">
        <v>8</v>
      </c>
      <c r="C47" s="27" t="s">
        <v>9</v>
      </c>
      <c r="D47" s="27" t="s">
        <v>20</v>
      </c>
      <c r="E47" s="27" t="s">
        <v>16</v>
      </c>
      <c r="F47" s="27" t="s">
        <v>12</v>
      </c>
      <c r="G47" s="44" t="s">
        <v>9</v>
      </c>
    </row>
    <row r="48" customFormat="false" ht="13.8" hidden="false" customHeight="false" outlineLevel="0" collapsed="false">
      <c r="A48" s="43" t="n">
        <v>5</v>
      </c>
      <c r="B48" s="27" t="s">
        <v>8</v>
      </c>
      <c r="C48" s="27" t="s">
        <v>9</v>
      </c>
      <c r="D48" s="27" t="s">
        <v>15</v>
      </c>
      <c r="E48" s="27" t="s">
        <v>16</v>
      </c>
      <c r="F48" s="27" t="s">
        <v>12</v>
      </c>
      <c r="G48" s="44" t="s">
        <v>14</v>
      </c>
      <c r="P48" s="17" t="s">
        <v>24</v>
      </c>
    </row>
    <row r="49" customFormat="false" ht="13.8" hidden="false" customHeight="false" outlineLevel="0" collapsed="false">
      <c r="A49" s="43" t="n">
        <v>6</v>
      </c>
      <c r="B49" s="27" t="s">
        <v>8</v>
      </c>
      <c r="C49" s="27" t="s">
        <v>14</v>
      </c>
      <c r="D49" s="27" t="s">
        <v>10</v>
      </c>
      <c r="E49" s="27" t="s">
        <v>11</v>
      </c>
      <c r="F49" s="27" t="s">
        <v>12</v>
      </c>
      <c r="G49" s="44" t="s">
        <v>9</v>
      </c>
    </row>
    <row r="50" customFormat="false" ht="13.8" hidden="false" customHeight="false" outlineLevel="0" collapsed="false">
      <c r="A50" s="43" t="n">
        <v>8</v>
      </c>
      <c r="B50" s="27" t="s">
        <v>13</v>
      </c>
      <c r="C50" s="27" t="s">
        <v>9</v>
      </c>
      <c r="D50" s="27" t="s">
        <v>10</v>
      </c>
      <c r="E50" s="27" t="s">
        <v>16</v>
      </c>
      <c r="F50" s="27" t="s">
        <v>12</v>
      </c>
      <c r="G50" s="44" t="s">
        <v>9</v>
      </c>
    </row>
    <row r="51" customFormat="false" ht="13.8" hidden="false" customHeight="false" outlineLevel="0" collapsed="false">
      <c r="A51" s="43" t="n">
        <v>11</v>
      </c>
      <c r="B51" s="27" t="s">
        <v>13</v>
      </c>
      <c r="C51" s="27" t="s">
        <v>9</v>
      </c>
      <c r="D51" s="27" t="s">
        <v>10</v>
      </c>
      <c r="E51" s="27" t="s">
        <v>11</v>
      </c>
      <c r="F51" s="27" t="s">
        <v>12</v>
      </c>
      <c r="G51" s="44" t="s">
        <v>9</v>
      </c>
    </row>
    <row r="52" customFormat="false" ht="13.8" hidden="false" customHeight="false" outlineLevel="0" collapsed="false">
      <c r="A52" s="45" t="n">
        <v>12</v>
      </c>
      <c r="B52" s="46" t="s">
        <v>13</v>
      </c>
      <c r="C52" s="46" t="s">
        <v>14</v>
      </c>
      <c r="D52" s="46" t="s">
        <v>10</v>
      </c>
      <c r="E52" s="46" t="s">
        <v>11</v>
      </c>
      <c r="F52" s="46" t="s">
        <v>12</v>
      </c>
      <c r="G52" s="47" t="s">
        <v>9</v>
      </c>
    </row>
    <row r="53" customFormat="false" ht="13.8" hidden="false" customHeight="false" outlineLevel="0" collapsed="false"/>
    <row r="54" customFormat="false" ht="13.8" hidden="false" customHeight="false" outlineLevel="0" collapsed="false">
      <c r="M54" s="19" t="s">
        <v>26</v>
      </c>
      <c r="N54" s="19"/>
      <c r="P54" s="20" t="s">
        <v>27</v>
      </c>
      <c r="Q54" s="20"/>
    </row>
    <row r="55" customFormat="false" ht="13.8" hidden="false" customHeight="false" outlineLevel="0" collapsed="false">
      <c r="A55" s="22" t="s">
        <v>28</v>
      </c>
      <c r="B55" s="22"/>
      <c r="C55" s="22" t="s">
        <v>29</v>
      </c>
      <c r="E55" s="22" t="s">
        <v>30</v>
      </c>
      <c r="F55" s="22"/>
      <c r="G55" s="22" t="s">
        <v>29</v>
      </c>
      <c r="P55" s="24" t="s">
        <v>31</v>
      </c>
      <c r="Q55" s="25" t="n">
        <f aca="false">(((B56+B57)/8)*N57)+(((F56+F57)/8)*N56)</f>
        <v>0.2</v>
      </c>
    </row>
    <row r="56" customFormat="false" ht="13.8" hidden="false" customHeight="false" outlineLevel="0" collapsed="false">
      <c r="A56" s="26" t="s">
        <v>9</v>
      </c>
      <c r="B56" s="27" t="n">
        <v>4</v>
      </c>
      <c r="C56" s="28" t="n">
        <f aca="false">B56/(B56+B57)</f>
        <v>0.8</v>
      </c>
      <c r="E56" s="26" t="s">
        <v>9</v>
      </c>
      <c r="F56" s="27" t="n">
        <v>3</v>
      </c>
      <c r="G56" s="28" t="n">
        <f aca="false">F56/(F56+F57)</f>
        <v>1</v>
      </c>
      <c r="M56" s="29" t="s">
        <v>13</v>
      </c>
      <c r="N56" s="30" t="n">
        <f aca="false">1-POWER(G56,2)-POWER(G57,2)</f>
        <v>0</v>
      </c>
    </row>
    <row r="57" customFormat="false" ht="13.8" hidden="false" customHeight="false" outlineLevel="0" collapsed="false">
      <c r="A57" s="31" t="s">
        <v>14</v>
      </c>
      <c r="B57" s="32" t="n">
        <v>1</v>
      </c>
      <c r="C57" s="33" t="n">
        <f aca="false">B57/(B56+B57)</f>
        <v>0.2</v>
      </c>
      <c r="E57" s="31" t="s">
        <v>14</v>
      </c>
      <c r="F57" s="32" t="n">
        <v>0</v>
      </c>
      <c r="G57" s="33" t="n">
        <f aca="false">F57/(F56+F57)</f>
        <v>0</v>
      </c>
      <c r="M57" s="32" t="s">
        <v>8</v>
      </c>
      <c r="N57" s="25" t="n">
        <f aca="false">1-POWER(C56,2)-POWER(C57,2)</f>
        <v>0.32</v>
      </c>
    </row>
    <row r="58" customFormat="false" ht="13.8" hidden="false" customHeight="false" outlineLevel="0" collapsed="false"/>
    <row r="59" customFormat="false" ht="13.8" hidden="false" customHeight="false" outlineLevel="0" collapsed="false">
      <c r="A59" s="22" t="s">
        <v>32</v>
      </c>
      <c r="B59" s="22"/>
      <c r="C59" s="22" t="s">
        <v>29</v>
      </c>
      <c r="E59" s="22" t="s">
        <v>33</v>
      </c>
      <c r="F59" s="22"/>
      <c r="G59" s="22" t="s">
        <v>29</v>
      </c>
      <c r="P59" s="24" t="s">
        <v>34</v>
      </c>
      <c r="Q59" s="25" t="n">
        <f aca="false">(((B60+B61)/8)*N61)+(((F60+F61)/8)*N60)</f>
        <v>0.208333333333333</v>
      </c>
    </row>
    <row r="60" customFormat="false" ht="13.8" hidden="false" customHeight="false" outlineLevel="0" collapsed="false">
      <c r="A60" s="26" t="s">
        <v>9</v>
      </c>
      <c r="B60" s="27" t="n">
        <v>5</v>
      </c>
      <c r="C60" s="28" t="n">
        <f aca="false">B60/(B60+B61)</f>
        <v>0.833333333333333</v>
      </c>
      <c r="E60" s="26" t="s">
        <v>9</v>
      </c>
      <c r="F60" s="27" t="n">
        <v>2</v>
      </c>
      <c r="G60" s="28" t="n">
        <f aca="false">F60/(F60+F61)</f>
        <v>1</v>
      </c>
      <c r="M60" s="29" t="s">
        <v>14</v>
      </c>
      <c r="N60" s="30" t="n">
        <f aca="false">1-POWER(G60,2)-POWER(G61,2)</f>
        <v>0</v>
      </c>
    </row>
    <row r="61" customFormat="false" ht="13.8" hidden="false" customHeight="false" outlineLevel="0" collapsed="false">
      <c r="A61" s="31" t="s">
        <v>14</v>
      </c>
      <c r="B61" s="32" t="n">
        <v>1</v>
      </c>
      <c r="C61" s="33" t="n">
        <f aca="false">B61/(B60+B61)</f>
        <v>0.166666666666667</v>
      </c>
      <c r="E61" s="31" t="s">
        <v>14</v>
      </c>
      <c r="F61" s="32" t="n">
        <v>0</v>
      </c>
      <c r="G61" s="33" t="n">
        <f aca="false">F61/(F60+F61)</f>
        <v>0</v>
      </c>
      <c r="M61" s="32" t="s">
        <v>9</v>
      </c>
      <c r="N61" s="25" t="n">
        <f aca="false">1-POWER(C60,2)-POWER(C61,2)</f>
        <v>0.277777777777778</v>
      </c>
    </row>
    <row r="62" customFormat="false" ht="13.8" hidden="false" customHeight="false" outlineLevel="0" collapsed="false"/>
    <row r="63" customFormat="false" ht="13.8" hidden="false" customHeight="false" outlineLevel="0" collapsed="false">
      <c r="A63" s="22" t="s">
        <v>35</v>
      </c>
      <c r="B63" s="22"/>
      <c r="C63" s="22" t="s">
        <v>29</v>
      </c>
      <c r="E63" s="22" t="s">
        <v>36</v>
      </c>
      <c r="F63" s="22"/>
      <c r="G63" s="22" t="s">
        <v>29</v>
      </c>
      <c r="I63" s="22" t="s">
        <v>37</v>
      </c>
      <c r="J63" s="22"/>
      <c r="K63" s="22" t="s">
        <v>29</v>
      </c>
      <c r="M63" s="29" t="s">
        <v>15</v>
      </c>
      <c r="N63" s="30" t="n">
        <f aca="false">1-POWER(K64,2)-POWER(K65,2)</f>
        <v>0</v>
      </c>
      <c r="P63" s="35" t="s">
        <v>38</v>
      </c>
      <c r="Q63" s="36" t="n">
        <f aca="false">(((B64+B65)/8)*N65)+(((F64+F65)/8)*N64)+(((J64+J65)/8)*N63)</f>
        <v>0</v>
      </c>
    </row>
    <row r="64" customFormat="false" ht="13.8" hidden="false" customHeight="false" outlineLevel="0" collapsed="false">
      <c r="A64" s="26" t="s">
        <v>9</v>
      </c>
      <c r="B64" s="27" t="n">
        <v>6</v>
      </c>
      <c r="C64" s="28" t="n">
        <f aca="false">B64/(B64+B65)</f>
        <v>1</v>
      </c>
      <c r="E64" s="26" t="s">
        <v>9</v>
      </c>
      <c r="F64" s="27" t="n">
        <v>1</v>
      </c>
      <c r="G64" s="28" t="n">
        <f aca="false">F64/(F64+F65)</f>
        <v>1</v>
      </c>
      <c r="I64" s="26" t="s">
        <v>9</v>
      </c>
      <c r="J64" s="27" t="n">
        <v>0</v>
      </c>
      <c r="K64" s="28" t="n">
        <f aca="false">J64/(J64+J65)</f>
        <v>0</v>
      </c>
      <c r="M64" s="27" t="s">
        <v>20</v>
      </c>
      <c r="N64" s="34" t="n">
        <f aca="false">1-POWER(G64,2)-POWER(G65,2)</f>
        <v>0</v>
      </c>
    </row>
    <row r="65" customFormat="false" ht="13.8" hidden="false" customHeight="false" outlineLevel="0" collapsed="false">
      <c r="A65" s="31" t="s">
        <v>14</v>
      </c>
      <c r="B65" s="32" t="n">
        <v>0</v>
      </c>
      <c r="C65" s="33" t="n">
        <f aca="false">B65/(B64+B65)</f>
        <v>0</v>
      </c>
      <c r="E65" s="31" t="s">
        <v>14</v>
      </c>
      <c r="F65" s="32" t="n">
        <v>0</v>
      </c>
      <c r="G65" s="33" t="n">
        <f aca="false">F65/(F64+F65)</f>
        <v>0</v>
      </c>
      <c r="I65" s="31" t="s">
        <v>14</v>
      </c>
      <c r="J65" s="32" t="n">
        <v>1</v>
      </c>
      <c r="K65" s="33" t="n">
        <f aca="false">J65/(J64+J65)</f>
        <v>1</v>
      </c>
      <c r="M65" s="32" t="s">
        <v>10</v>
      </c>
      <c r="N65" s="25" t="n">
        <f aca="false">1-POWER(C64,2)-POWER(C65,2)</f>
        <v>0</v>
      </c>
    </row>
    <row r="66" customFormat="false" ht="13.8" hidden="false" customHeight="false" outlineLevel="0" collapsed="false"/>
    <row r="67" customFormat="false" ht="13.8" hidden="false" customHeight="false" outlineLevel="0" collapsed="false">
      <c r="A67" s="22" t="s">
        <v>39</v>
      </c>
      <c r="B67" s="22"/>
      <c r="C67" s="22" t="s">
        <v>29</v>
      </c>
      <c r="E67" s="22" t="s">
        <v>40</v>
      </c>
      <c r="F67" s="22"/>
      <c r="G67" s="22" t="s">
        <v>29</v>
      </c>
      <c r="P67" s="24" t="s">
        <v>41</v>
      </c>
      <c r="Q67" s="25" t="n">
        <f aca="false">(((B68+B69)/8)*N69)+(((F68+F69)/8)*N68)</f>
        <v>0.1875</v>
      </c>
    </row>
    <row r="68" customFormat="false" ht="13.8" hidden="false" customHeight="false" outlineLevel="0" collapsed="false">
      <c r="A68" s="26" t="s">
        <v>9</v>
      </c>
      <c r="B68" s="27" t="n">
        <v>4</v>
      </c>
      <c r="C68" s="28" t="n">
        <f aca="false">B68/(B68+B69)</f>
        <v>1</v>
      </c>
      <c r="E68" s="26" t="s">
        <v>9</v>
      </c>
      <c r="F68" s="27" t="n">
        <v>3</v>
      </c>
      <c r="G68" s="28" t="n">
        <f aca="false">F68/(F68+F69)</f>
        <v>0.75</v>
      </c>
      <c r="M68" s="29" t="s">
        <v>16</v>
      </c>
      <c r="N68" s="30" t="n">
        <f aca="false">1-POWER(G68,2)-POWER(G69,2)</f>
        <v>0.375</v>
      </c>
    </row>
    <row r="69" customFormat="false" ht="13.8" hidden="false" customHeight="false" outlineLevel="0" collapsed="false">
      <c r="A69" s="31" t="s">
        <v>14</v>
      </c>
      <c r="B69" s="32" t="n">
        <v>0</v>
      </c>
      <c r="C69" s="33" t="n">
        <f aca="false">B69/(B68+B69)</f>
        <v>0</v>
      </c>
      <c r="E69" s="31" t="s">
        <v>14</v>
      </c>
      <c r="F69" s="32" t="n">
        <v>1</v>
      </c>
      <c r="G69" s="33" t="n">
        <f aca="false">F69/(F68+F69)</f>
        <v>0.25</v>
      </c>
      <c r="M69" s="32" t="s">
        <v>11</v>
      </c>
      <c r="N69" s="25" t="n">
        <f aca="false">1-POWER(C68,2)-POWER(C69,2)</f>
        <v>0</v>
      </c>
    </row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5" hidden="false" customHeight="false" outlineLevel="0" collapsed="false">
      <c r="A72" s="48" t="s">
        <v>45</v>
      </c>
    </row>
    <row r="73" customFormat="false" ht="13.8" hidden="false" customHeight="false" outlineLevel="0" collapsed="false">
      <c r="A73" s="49" t="s">
        <v>46</v>
      </c>
    </row>
    <row r="74" customFormat="false" ht="13.8" hidden="false" customHeight="false" outlineLevel="0" collapsed="false">
      <c r="A74" s="50" t="s">
        <v>47</v>
      </c>
    </row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7.35" hidden="false" customHeight="false" outlineLevel="0" collapsed="false">
      <c r="A77" s="51" t="s">
        <v>48</v>
      </c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</row>
    <row r="78" customFormat="false" ht="13.8" hidden="false" customHeight="false" outlineLevel="0" collapsed="false">
      <c r="A78" s="35" t="s">
        <v>49</v>
      </c>
      <c r="B78" s="35"/>
      <c r="C78" s="35"/>
      <c r="D78" s="52" t="s">
        <v>50</v>
      </c>
      <c r="E78" s="52"/>
      <c r="F78" s="52"/>
      <c r="G78" s="52"/>
      <c r="H78" s="52"/>
      <c r="I78" s="52"/>
      <c r="J78" s="52"/>
      <c r="K78" s="52"/>
      <c r="L78" s="52"/>
      <c r="M78" s="52"/>
      <c r="N78" s="52"/>
    </row>
    <row r="79" customFormat="false" ht="13.8" hidden="false" customHeight="false" outlineLevel="0" collapsed="false">
      <c r="A79" s="35" t="s">
        <v>51</v>
      </c>
      <c r="B79" s="35"/>
      <c r="C79" s="35"/>
      <c r="D79" s="52" t="s">
        <v>52</v>
      </c>
      <c r="E79" s="52"/>
      <c r="F79" s="52"/>
      <c r="G79" s="52"/>
      <c r="H79" s="52"/>
      <c r="I79" s="52"/>
      <c r="J79" s="52"/>
      <c r="K79" s="52"/>
      <c r="L79" s="52"/>
      <c r="M79" s="52"/>
      <c r="N79" s="52"/>
    </row>
    <row r="80" customFormat="false" ht="13.8" hidden="false" customHeight="false" outlineLevel="0" collapsed="false">
      <c r="A80" s="35" t="s">
        <v>53</v>
      </c>
      <c r="B80" s="35"/>
      <c r="C80" s="35"/>
      <c r="D80" s="53" t="s">
        <v>54</v>
      </c>
      <c r="E80" s="53"/>
      <c r="F80" s="53"/>
      <c r="G80" s="53"/>
      <c r="H80" s="53"/>
      <c r="I80" s="53"/>
      <c r="J80" s="53"/>
      <c r="K80" s="53"/>
      <c r="L80" s="53"/>
      <c r="M80" s="53"/>
      <c r="N80" s="53"/>
    </row>
    <row r="81" customFormat="false" ht="17.35" hidden="false" customHeight="false" outlineLevel="0" collapsed="false">
      <c r="A81" s="54"/>
    </row>
    <row r="82" customFormat="false" ht="13.8" hidden="false" customHeight="false" outlineLevel="0" collapsed="false"/>
    <row r="83" customFormat="false" ht="13.8" hidden="false" customHeight="false" outlineLevel="0" collapsed="false">
      <c r="A83" s="55" t="s">
        <v>55</v>
      </c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</row>
    <row r="84" customFormat="false" ht="12.8" hidden="false" customHeight="false" outlineLevel="0" collapsed="false">
      <c r="A84" s="56" t="s">
        <v>56</v>
      </c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</row>
    <row r="85" customFormat="false" ht="13.8" hidden="false" customHeight="false" outlineLevel="0" collapsed="false"/>
    <row r="86" customFormat="false" ht="13.8" hidden="false" customHeight="false" outlineLevel="0" collapsed="false">
      <c r="A86" s="17" t="s">
        <v>57</v>
      </c>
    </row>
    <row r="87" customFormat="false" ht="13.8" hidden="false" customHeight="false" outlineLevel="0" collapsed="false"/>
    <row r="88" customFormat="false" ht="12.8" hidden="false" customHeight="false" outlineLevel="0" collapsed="false">
      <c r="A88" s="57" t="s">
        <v>58</v>
      </c>
      <c r="B88" s="57"/>
      <c r="C88" s="57"/>
      <c r="D88" s="58" t="s">
        <v>59</v>
      </c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9" t="s">
        <v>27</v>
      </c>
      <c r="P88" s="59"/>
      <c r="Q88" s="59"/>
    </row>
    <row r="89" customFormat="false" ht="12.8" hidden="false" customHeight="false" outlineLevel="0" collapsed="false">
      <c r="A89" s="60" t="s">
        <v>31</v>
      </c>
      <c r="B89" s="60"/>
      <c r="C89" s="60"/>
      <c r="D89" s="31" t="s">
        <v>60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61" t="n">
        <f aca="false">Q23</f>
        <v>0.485714285714286</v>
      </c>
      <c r="P89" s="61"/>
      <c r="Q89" s="61"/>
    </row>
    <row r="90" customFormat="false" ht="12.8" hidden="false" customHeight="false" outlineLevel="0" collapsed="false">
      <c r="A90" s="60" t="s">
        <v>34</v>
      </c>
      <c r="B90" s="60"/>
      <c r="C90" s="60"/>
      <c r="D90" s="31" t="s">
        <v>61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61" t="n">
        <f aca="false">Q27</f>
        <v>0.479166666666667</v>
      </c>
      <c r="P90" s="61"/>
      <c r="Q90" s="61"/>
    </row>
    <row r="91" customFormat="false" ht="12.8" hidden="false" customHeight="false" outlineLevel="0" collapsed="false">
      <c r="A91" s="60" t="s">
        <v>38</v>
      </c>
      <c r="B91" s="60"/>
      <c r="C91" s="60"/>
      <c r="D91" s="31" t="s">
        <v>62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61" t="n">
        <f aca="false">Q31</f>
        <v>0.361111111111111</v>
      </c>
      <c r="P91" s="61"/>
      <c r="Q91" s="61"/>
    </row>
    <row r="92" customFormat="false" ht="12.8" hidden="false" customHeight="false" outlineLevel="0" collapsed="false">
      <c r="A92" s="60" t="s">
        <v>41</v>
      </c>
      <c r="B92" s="60"/>
      <c r="C92" s="60"/>
      <c r="D92" s="31" t="s">
        <v>63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61" t="n">
        <f aca="false">Q35</f>
        <v>0.419047619047619</v>
      </c>
      <c r="P92" s="61"/>
      <c r="Q92" s="61"/>
    </row>
    <row r="93" customFormat="false" ht="12.8" hidden="false" customHeight="false" outlineLevel="0" collapsed="false">
      <c r="A93" s="62" t="s">
        <v>44</v>
      </c>
      <c r="B93" s="62"/>
      <c r="C93" s="62"/>
      <c r="D93" s="63" t="s">
        <v>64</v>
      </c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4" t="n">
        <f aca="false">Q39</f>
        <v>0.145833333333333</v>
      </c>
      <c r="P93" s="64"/>
      <c r="Q93" s="64"/>
    </row>
    <row r="94" customFormat="false" ht="13.8" hidden="false" customHeight="false" outlineLevel="0" collapsed="false"/>
    <row r="95" customFormat="false" ht="13.8" hidden="false" customHeight="false" outlineLevel="0" collapsed="false">
      <c r="A95" s="17" t="s">
        <v>65</v>
      </c>
    </row>
    <row r="96" customFormat="false" ht="13.8" hidden="false" customHeight="false" outlineLevel="0" collapsed="false"/>
    <row r="97" customFormat="false" ht="13.8" hidden="false" customHeight="false" outlineLevel="0" collapsed="false">
      <c r="A97" s="65" t="s">
        <v>66</v>
      </c>
    </row>
    <row r="98" customFormat="false" ht="15" hidden="false" customHeight="false" outlineLevel="0" collapsed="false">
      <c r="G98" s="66" t="s">
        <v>6</v>
      </c>
      <c r="H98" s="66"/>
      <c r="I98" s="66"/>
      <c r="J98" s="66"/>
    </row>
    <row r="99" customFormat="false" ht="13.8" hidden="false" customHeight="false" outlineLevel="0" collapsed="false">
      <c r="G99" s="67" t="s">
        <v>67</v>
      </c>
      <c r="H99" s="67"/>
      <c r="I99" s="67"/>
      <c r="J99" s="67"/>
    </row>
    <row r="100" customFormat="false" ht="13.8" hidden="false" customHeight="false" outlineLevel="0" collapsed="false">
      <c r="C100" s="68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70"/>
    </row>
    <row r="101" customFormat="false" ht="13.8" hidden="false" customHeight="false" outlineLevel="0" collapsed="false">
      <c r="A101" s="71" t="s">
        <v>12</v>
      </c>
      <c r="B101" s="71"/>
      <c r="C101" s="71"/>
      <c r="D101" s="71"/>
      <c r="M101" s="71" t="s">
        <v>17</v>
      </c>
      <c r="N101" s="71"/>
      <c r="O101" s="71"/>
      <c r="P101" s="71"/>
    </row>
    <row r="102" customFormat="false" ht="13.8" hidden="false" customHeight="false" outlineLevel="0" collapsed="false">
      <c r="A102" s="72" t="s">
        <v>12</v>
      </c>
      <c r="B102" s="72"/>
      <c r="C102" s="72"/>
      <c r="D102" s="72"/>
      <c r="M102" s="72" t="s">
        <v>17</v>
      </c>
      <c r="N102" s="72"/>
      <c r="O102" s="72"/>
      <c r="P102" s="72"/>
    </row>
    <row r="103" customFormat="false" ht="13.8" hidden="false" customHeight="false" outlineLevel="0" collapsed="false">
      <c r="A103" s="73" t="s">
        <v>68</v>
      </c>
      <c r="B103" s="73"/>
      <c r="C103" s="73"/>
      <c r="D103" s="73"/>
      <c r="M103" s="73" t="s">
        <v>69</v>
      </c>
      <c r="N103" s="73"/>
      <c r="O103" s="73"/>
      <c r="P103" s="73"/>
    </row>
    <row r="104" customFormat="false" ht="13.8" hidden="false" customHeight="false" outlineLevel="0" collapsed="false">
      <c r="A104" s="73" t="s">
        <v>70</v>
      </c>
      <c r="B104" s="73"/>
      <c r="C104" s="73"/>
      <c r="D104" s="73"/>
      <c r="M104" s="73" t="s">
        <v>71</v>
      </c>
      <c r="N104" s="73"/>
      <c r="O104" s="73"/>
      <c r="P104" s="73"/>
    </row>
    <row r="105" customFormat="false" ht="13.8" hidden="false" customHeight="false" outlineLevel="0" collapsed="false">
      <c r="A105" s="74" t="s">
        <v>72</v>
      </c>
      <c r="B105" s="74"/>
      <c r="C105" s="74"/>
      <c r="D105" s="74"/>
      <c r="M105" s="75" t="s">
        <v>73</v>
      </c>
      <c r="N105" s="75"/>
      <c r="O105" s="75"/>
      <c r="P105" s="75"/>
    </row>
    <row r="106" customFormat="false" ht="13.8" hidden="false" customHeight="false" outlineLevel="0" collapsed="false">
      <c r="B106" s="76"/>
      <c r="N106" s="76"/>
    </row>
    <row r="107" customFormat="false" ht="13.8" hidden="false" customHeight="false" outlineLevel="0" collapsed="false">
      <c r="A107" s="71" t="s">
        <v>74</v>
      </c>
      <c r="B107" s="71"/>
      <c r="C107" s="71"/>
      <c r="D107" s="71"/>
      <c r="M107" s="77" t="s">
        <v>75</v>
      </c>
      <c r="N107" s="77"/>
      <c r="O107" s="77"/>
      <c r="P107" s="77"/>
    </row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>
      <c r="A110" s="17" t="s">
        <v>76</v>
      </c>
    </row>
    <row r="111" customFormat="false" ht="13.8" hidden="false" customHeight="false" outlineLevel="0" collapsed="false">
      <c r="A111" s="78" t="s">
        <v>77</v>
      </c>
    </row>
    <row r="112" customFormat="false" ht="13.8" hidden="false" customHeight="false" outlineLevel="0" collapsed="false"/>
    <row r="113" customFormat="false" ht="12.8" hidden="false" customHeight="false" outlineLevel="0" collapsed="false">
      <c r="A113" s="57" t="s">
        <v>58</v>
      </c>
      <c r="B113" s="57"/>
      <c r="C113" s="57"/>
      <c r="D113" s="58" t="s">
        <v>59</v>
      </c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9" t="s">
        <v>27</v>
      </c>
      <c r="P113" s="59"/>
      <c r="Q113" s="59"/>
    </row>
    <row r="114" customFormat="false" ht="12.8" hidden="false" customHeight="false" outlineLevel="0" collapsed="false">
      <c r="A114" s="60" t="s">
        <v>31</v>
      </c>
      <c r="B114" s="60"/>
      <c r="C114" s="60"/>
      <c r="D114" s="31" t="s">
        <v>78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61" t="n">
        <f aca="false">Q55</f>
        <v>0.2</v>
      </c>
      <c r="P114" s="61"/>
      <c r="Q114" s="61"/>
    </row>
    <row r="115" customFormat="false" ht="12.8" hidden="false" customHeight="false" outlineLevel="0" collapsed="false">
      <c r="A115" s="60" t="s">
        <v>34</v>
      </c>
      <c r="B115" s="60"/>
      <c r="C115" s="60"/>
      <c r="D115" s="31" t="s">
        <v>79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61" t="n">
        <f aca="false">Q59</f>
        <v>0.208333333333333</v>
      </c>
      <c r="P115" s="61"/>
      <c r="Q115" s="61"/>
    </row>
    <row r="116" customFormat="false" ht="12.8" hidden="false" customHeight="false" outlineLevel="0" collapsed="false">
      <c r="A116" s="79" t="s">
        <v>38</v>
      </c>
      <c r="B116" s="79"/>
      <c r="C116" s="79"/>
      <c r="D116" s="80" t="s">
        <v>80</v>
      </c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1" t="n">
        <f aca="false">Q63</f>
        <v>0</v>
      </c>
      <c r="P116" s="81"/>
      <c r="Q116" s="81"/>
    </row>
    <row r="117" customFormat="false" ht="12.8" hidden="false" customHeight="false" outlineLevel="0" collapsed="false">
      <c r="A117" s="45" t="s">
        <v>41</v>
      </c>
      <c r="B117" s="45"/>
      <c r="C117" s="45"/>
      <c r="D117" s="82" t="s">
        <v>81</v>
      </c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3" t="n">
        <f aca="false">Q67</f>
        <v>0.1875</v>
      </c>
      <c r="P117" s="83"/>
      <c r="Q117" s="83"/>
    </row>
    <row r="118" customFormat="false" ht="13.8" hidden="false" customHeight="false" outlineLevel="0" collapsed="false"/>
    <row r="119" customFormat="false" ht="13.8" hidden="false" customHeight="false" outlineLevel="0" collapsed="false">
      <c r="A119" s="17" t="s">
        <v>82</v>
      </c>
    </row>
    <row r="120" customFormat="false" ht="13.8" hidden="false" customHeight="false" outlineLevel="0" collapsed="false"/>
    <row r="121" customFormat="false" ht="15" hidden="false" customHeight="false" outlineLevel="0" collapsed="false">
      <c r="G121" s="66" t="s">
        <v>4</v>
      </c>
      <c r="H121" s="66"/>
      <c r="I121" s="66"/>
      <c r="J121" s="66"/>
    </row>
    <row r="122" customFormat="false" ht="13.8" hidden="false" customHeight="false" outlineLevel="0" collapsed="false">
      <c r="G122" s="67" t="s">
        <v>83</v>
      </c>
      <c r="H122" s="67"/>
      <c r="I122" s="67"/>
      <c r="J122" s="67"/>
    </row>
    <row r="123" customFormat="false" ht="13.8" hidden="false" customHeight="false" outlineLevel="0" collapsed="false">
      <c r="C123" s="68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70"/>
    </row>
    <row r="124" customFormat="false" ht="13.8" hidden="false" customHeight="false" outlineLevel="0" collapsed="false">
      <c r="A124" s="71" t="s">
        <v>10</v>
      </c>
      <c r="B124" s="71"/>
      <c r="C124" s="71"/>
      <c r="D124" s="71"/>
      <c r="G124" s="71" t="s">
        <v>20</v>
      </c>
      <c r="H124" s="71"/>
      <c r="I124" s="71"/>
      <c r="J124" s="71"/>
      <c r="M124" s="71" t="s">
        <v>15</v>
      </c>
      <c r="N124" s="71"/>
      <c r="O124" s="71"/>
      <c r="P124" s="71"/>
    </row>
    <row r="125" customFormat="false" ht="13.8" hidden="false" customHeight="false" outlineLevel="0" collapsed="false">
      <c r="A125" s="72" t="s">
        <v>10</v>
      </c>
      <c r="B125" s="72"/>
      <c r="C125" s="72"/>
      <c r="D125" s="72"/>
      <c r="G125" s="72" t="s">
        <v>20</v>
      </c>
      <c r="H125" s="72"/>
      <c r="I125" s="72"/>
      <c r="J125" s="72"/>
      <c r="M125" s="72" t="s">
        <v>15</v>
      </c>
      <c r="N125" s="72"/>
      <c r="O125" s="72"/>
      <c r="P125" s="72"/>
    </row>
    <row r="126" customFormat="false" ht="13.8" hidden="false" customHeight="false" outlineLevel="0" collapsed="false">
      <c r="A126" s="73" t="s">
        <v>84</v>
      </c>
      <c r="B126" s="73"/>
      <c r="C126" s="73"/>
      <c r="D126" s="73"/>
      <c r="G126" s="73" t="s">
        <v>85</v>
      </c>
      <c r="H126" s="73"/>
      <c r="I126" s="73"/>
      <c r="J126" s="73"/>
      <c r="M126" s="73" t="s">
        <v>85</v>
      </c>
      <c r="N126" s="73"/>
      <c r="O126" s="73"/>
      <c r="P126" s="73"/>
    </row>
    <row r="127" customFormat="false" ht="13.8" hidden="false" customHeight="false" outlineLevel="0" collapsed="false">
      <c r="A127" s="73" t="s">
        <v>86</v>
      </c>
      <c r="B127" s="73"/>
      <c r="C127" s="73"/>
      <c r="D127" s="73"/>
      <c r="G127" s="73" t="s">
        <v>87</v>
      </c>
      <c r="H127" s="73"/>
      <c r="I127" s="73"/>
      <c r="J127" s="73"/>
      <c r="M127" s="73" t="s">
        <v>88</v>
      </c>
      <c r="N127" s="73"/>
      <c r="O127" s="73"/>
      <c r="P127" s="73"/>
    </row>
    <row r="128" customFormat="false" ht="13.8" hidden="false" customHeight="false" outlineLevel="0" collapsed="false">
      <c r="A128" s="75" t="s">
        <v>73</v>
      </c>
      <c r="B128" s="75"/>
      <c r="C128" s="75"/>
      <c r="D128" s="75"/>
      <c r="G128" s="75" t="s">
        <v>73</v>
      </c>
      <c r="H128" s="75"/>
      <c r="I128" s="75"/>
      <c r="J128" s="75"/>
      <c r="M128" s="75" t="s">
        <v>73</v>
      </c>
      <c r="N128" s="75"/>
      <c r="O128" s="75"/>
      <c r="P128" s="75"/>
    </row>
    <row r="129" customFormat="false" ht="13.8" hidden="false" customHeight="false" outlineLevel="0" collapsed="false">
      <c r="B129" s="76"/>
      <c r="H129" s="76"/>
      <c r="N129" s="76"/>
    </row>
    <row r="130" customFormat="false" ht="13.8" hidden="false" customHeight="false" outlineLevel="0" collapsed="false">
      <c r="A130" s="77" t="s">
        <v>89</v>
      </c>
      <c r="B130" s="77"/>
      <c r="C130" s="77"/>
      <c r="D130" s="77"/>
      <c r="G130" s="77" t="s">
        <v>89</v>
      </c>
      <c r="H130" s="77"/>
      <c r="I130" s="77"/>
      <c r="J130" s="77"/>
      <c r="M130" s="77" t="s">
        <v>75</v>
      </c>
      <c r="N130" s="77"/>
      <c r="O130" s="77"/>
      <c r="P130" s="77"/>
    </row>
    <row r="131" customFormat="false" ht="13.8" hidden="false" customHeight="false" outlineLevel="0" collapsed="false"/>
    <row r="132" customFormat="false" ht="13.8" hidden="false" customHeight="false" outlineLevel="0" collapsed="false">
      <c r="A132" s="65" t="s">
        <v>90</v>
      </c>
    </row>
    <row r="133" customFormat="false" ht="12.8" hidden="false" customHeight="false" outlineLevel="0" collapsed="false">
      <c r="A133" s="57" t="s">
        <v>91</v>
      </c>
      <c r="B133" s="58" t="s">
        <v>92</v>
      </c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9" t="s">
        <v>93</v>
      </c>
      <c r="N133" s="59"/>
      <c r="O133" s="59"/>
      <c r="P133" s="59"/>
      <c r="Q133" s="59"/>
    </row>
    <row r="134" customFormat="false" ht="13.8" hidden="false" customHeight="false" outlineLevel="0" collapsed="false">
      <c r="A134" s="79" t="s">
        <v>94</v>
      </c>
      <c r="B134" s="31" t="s">
        <v>95</v>
      </c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84" t="s">
        <v>96</v>
      </c>
      <c r="N134" s="84"/>
      <c r="O134" s="84"/>
      <c r="P134" s="84"/>
      <c r="Q134" s="84"/>
    </row>
    <row r="135" customFormat="false" ht="13.8" hidden="false" customHeight="false" outlineLevel="0" collapsed="false">
      <c r="A135" s="62" t="s">
        <v>97</v>
      </c>
      <c r="B135" s="82" t="s">
        <v>98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5" t="s">
        <v>96</v>
      </c>
      <c r="N135" s="85"/>
      <c r="O135" s="85"/>
      <c r="P135" s="85"/>
      <c r="Q135" s="85"/>
    </row>
    <row r="1048576" customFormat="false" ht="12.8" hidden="false" customHeight="false" outlineLevel="0" collapsed="false"/>
  </sheetData>
  <mergeCells count="90">
    <mergeCell ref="A1:G1"/>
    <mergeCell ref="A17:G19"/>
    <mergeCell ref="A21:G21"/>
    <mergeCell ref="M22:N22"/>
    <mergeCell ref="P22:Q22"/>
    <mergeCell ref="A44:G44"/>
    <mergeCell ref="M54:N54"/>
    <mergeCell ref="P54:Q54"/>
    <mergeCell ref="A77:Q77"/>
    <mergeCell ref="A78:C78"/>
    <mergeCell ref="D78:N78"/>
    <mergeCell ref="A79:C79"/>
    <mergeCell ref="D79:N79"/>
    <mergeCell ref="A80:C80"/>
    <mergeCell ref="D80:N80"/>
    <mergeCell ref="A83:Q83"/>
    <mergeCell ref="A84:Q84"/>
    <mergeCell ref="A88:C88"/>
    <mergeCell ref="D88:N88"/>
    <mergeCell ref="O88:Q88"/>
    <mergeCell ref="A89:C89"/>
    <mergeCell ref="D89:N89"/>
    <mergeCell ref="O89:Q89"/>
    <mergeCell ref="A90:C90"/>
    <mergeCell ref="D90:N90"/>
    <mergeCell ref="O90:Q90"/>
    <mergeCell ref="A91:C91"/>
    <mergeCell ref="D91:N91"/>
    <mergeCell ref="O91:Q91"/>
    <mergeCell ref="A92:C92"/>
    <mergeCell ref="D92:N92"/>
    <mergeCell ref="O92:Q92"/>
    <mergeCell ref="A93:C93"/>
    <mergeCell ref="D93:N93"/>
    <mergeCell ref="O93:Q93"/>
    <mergeCell ref="G98:J98"/>
    <mergeCell ref="G99:J99"/>
    <mergeCell ref="A101:D101"/>
    <mergeCell ref="M101:P101"/>
    <mergeCell ref="A102:D102"/>
    <mergeCell ref="M102:P102"/>
    <mergeCell ref="A103:D103"/>
    <mergeCell ref="M103:P103"/>
    <mergeCell ref="A104:D104"/>
    <mergeCell ref="M104:P104"/>
    <mergeCell ref="A105:D105"/>
    <mergeCell ref="M105:P105"/>
    <mergeCell ref="A107:D107"/>
    <mergeCell ref="M107:P107"/>
    <mergeCell ref="A113:C113"/>
    <mergeCell ref="D113:N113"/>
    <mergeCell ref="O113:Q113"/>
    <mergeCell ref="A114:C114"/>
    <mergeCell ref="D114:N114"/>
    <mergeCell ref="O114:Q114"/>
    <mergeCell ref="A115:C115"/>
    <mergeCell ref="D115:N115"/>
    <mergeCell ref="O115:Q115"/>
    <mergeCell ref="A116:C116"/>
    <mergeCell ref="D116:N116"/>
    <mergeCell ref="O116:Q116"/>
    <mergeCell ref="A117:C117"/>
    <mergeCell ref="D117:N117"/>
    <mergeCell ref="O117:Q117"/>
    <mergeCell ref="G121:J121"/>
    <mergeCell ref="G122:J122"/>
    <mergeCell ref="A124:D124"/>
    <mergeCell ref="G124:J124"/>
    <mergeCell ref="M124:P124"/>
    <mergeCell ref="A125:D125"/>
    <mergeCell ref="G125:J125"/>
    <mergeCell ref="M125:P125"/>
    <mergeCell ref="A126:D126"/>
    <mergeCell ref="G126:J126"/>
    <mergeCell ref="M126:P126"/>
    <mergeCell ref="A127:D127"/>
    <mergeCell ref="G127:J127"/>
    <mergeCell ref="M127:P127"/>
    <mergeCell ref="A128:D128"/>
    <mergeCell ref="G128:J128"/>
    <mergeCell ref="M128:P128"/>
    <mergeCell ref="A130:D130"/>
    <mergeCell ref="G130:J130"/>
    <mergeCell ref="M130:P130"/>
    <mergeCell ref="B133:L133"/>
    <mergeCell ref="M133:Q133"/>
    <mergeCell ref="B134:L134"/>
    <mergeCell ref="M134:Q134"/>
    <mergeCell ref="B135:L135"/>
    <mergeCell ref="M135:Q1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5"/>
  <sheetViews>
    <sheetView showFormulas="false" showGridLines="true" showRowColHeaders="true" showZeros="true" rightToLeft="false" tabSelected="true" showOutlineSymbols="true" defaultGridColor="true" view="normal" topLeftCell="A111" colorId="64" zoomScale="100" zoomScaleNormal="100" zoomScalePageLayoutView="100" workbookViewId="0">
      <selection pane="topLeft" activeCell="F127" activeCellId="0" sqref="F127"/>
    </sheetView>
  </sheetViews>
  <sheetFormatPr defaultColWidth="8.3046875" defaultRowHeight="14.25" customHeight="false" zeroHeight="false" outlineLevelRow="0" outlineLevelCol="0"/>
  <cols>
    <col collapsed="false" customWidth="true" hidden="false" outlineLevel="0" max="1" min="1" style="1" width="5.87"/>
    <col collapsed="false" customWidth="true" hidden="false" outlineLevel="0" max="2" min="2" style="1" width="9.66"/>
    <col collapsed="false" customWidth="true" hidden="false" outlineLevel="0" max="3" min="3" style="1" width="15.47"/>
    <col collapsed="false" customWidth="true" hidden="false" outlineLevel="0" max="4" min="4" style="1" width="10.13"/>
    <col collapsed="false" customWidth="true" hidden="false" outlineLevel="0" max="5" min="5" style="1" width="10.53"/>
    <col collapsed="false" customWidth="true" hidden="false" outlineLevel="0" max="6" min="6" style="1" width="9.87"/>
    <col collapsed="false" customWidth="true" hidden="false" outlineLevel="0" max="7" min="7" style="1" width="10.53"/>
    <col collapsed="false" customWidth="false" hidden="false" outlineLevel="0" max="9" min="8" style="1" width="8.3"/>
    <col collapsed="false" customWidth="true" hidden="false" outlineLevel="0" max="10" min="10" style="1" width="10.87"/>
    <col collapsed="false" customWidth="false" hidden="false" outlineLevel="0" max="12" min="11" style="1" width="8.3"/>
    <col collapsed="false" customWidth="true" hidden="false" outlineLevel="0" max="13" min="13" style="1" width="13.83"/>
    <col collapsed="false" customWidth="false" hidden="false" outlineLevel="0" max="15" min="14" style="1" width="8.3"/>
    <col collapsed="false" customWidth="true" hidden="false" outlineLevel="0" max="16" min="16" style="1" width="15.83"/>
    <col collapsed="false" customWidth="false" hidden="false" outlineLevel="0" max="16384" min="17" style="1" width="8.3"/>
  </cols>
  <sheetData>
    <row r="1" customFormat="false" ht="14.2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14.25" hidden="false" customHeight="false" outlineLevel="0" collapsed="false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I3" s="6" t="s">
        <v>1</v>
      </c>
      <c r="J3" s="6" t="s">
        <v>2</v>
      </c>
      <c r="K3" s="6" t="s">
        <v>3</v>
      </c>
      <c r="L3" s="6" t="s">
        <v>4</v>
      </c>
      <c r="M3" s="6" t="s">
        <v>5</v>
      </c>
      <c r="N3" s="6" t="s">
        <v>6</v>
      </c>
      <c r="O3" s="6" t="s">
        <v>7</v>
      </c>
    </row>
    <row r="4" customFormat="false" ht="14.25" hidden="false" customHeight="false" outlineLevel="0" collapsed="false">
      <c r="A4" s="7" t="n">
        <v>1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9" t="s">
        <v>9</v>
      </c>
      <c r="I4" s="10" t="n">
        <v>13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</row>
    <row r="5" customFormat="false" ht="14.25" hidden="false" customHeight="false" outlineLevel="0" collapsed="false">
      <c r="A5" s="7" t="n">
        <v>2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17</v>
      </c>
      <c r="G5" s="9" t="s">
        <v>14</v>
      </c>
      <c r="I5" s="11" t="n">
        <v>14</v>
      </c>
      <c r="J5" s="1" t="s">
        <v>13</v>
      </c>
      <c r="K5" s="1" t="s">
        <v>9</v>
      </c>
      <c r="L5" s="1" t="s">
        <v>15</v>
      </c>
      <c r="M5" s="1" t="s">
        <v>11</v>
      </c>
      <c r="N5" s="1" t="s">
        <v>12</v>
      </c>
      <c r="O5" s="1" t="s">
        <v>19</v>
      </c>
    </row>
    <row r="6" customFormat="false" ht="14.25" hidden="false" customHeight="false" outlineLevel="0" collapsed="false">
      <c r="A6" s="7" t="n">
        <v>3</v>
      </c>
      <c r="B6" s="8" t="s">
        <v>8</v>
      </c>
      <c r="C6" s="8" t="s">
        <v>9</v>
      </c>
      <c r="D6" s="8" t="s">
        <v>10</v>
      </c>
      <c r="E6" s="8" t="s">
        <v>16</v>
      </c>
      <c r="F6" s="8" t="s">
        <v>12</v>
      </c>
      <c r="G6" s="9" t="s">
        <v>9</v>
      </c>
    </row>
    <row r="7" customFormat="false" ht="14.25" hidden="false" customHeight="false" outlineLevel="0" collapsed="false">
      <c r="A7" s="7" t="n">
        <v>4</v>
      </c>
      <c r="B7" s="8" t="s">
        <v>8</v>
      </c>
      <c r="C7" s="8" t="s">
        <v>9</v>
      </c>
      <c r="D7" s="8" t="s">
        <v>20</v>
      </c>
      <c r="E7" s="8" t="s">
        <v>16</v>
      </c>
      <c r="F7" s="8" t="s">
        <v>12</v>
      </c>
      <c r="G7" s="9" t="s">
        <v>9</v>
      </c>
    </row>
    <row r="8" customFormat="false" ht="14.25" hidden="false" customHeight="false" outlineLevel="0" collapsed="false">
      <c r="A8" s="7" t="n">
        <v>5</v>
      </c>
      <c r="B8" s="8" t="s">
        <v>8</v>
      </c>
      <c r="C8" s="8" t="s">
        <v>9</v>
      </c>
      <c r="D8" s="8" t="s">
        <v>15</v>
      </c>
      <c r="E8" s="8" t="s">
        <v>16</v>
      </c>
      <c r="F8" s="8" t="s">
        <v>12</v>
      </c>
      <c r="G8" s="9" t="s">
        <v>14</v>
      </c>
      <c r="I8" s="12" t="s">
        <v>21</v>
      </c>
    </row>
    <row r="9" customFormat="false" ht="14.25" hidden="false" customHeight="false" outlineLevel="0" collapsed="false">
      <c r="A9" s="7" t="n">
        <v>6</v>
      </c>
      <c r="B9" s="8" t="s">
        <v>8</v>
      </c>
      <c r="C9" s="8" t="s">
        <v>14</v>
      </c>
      <c r="D9" s="8" t="s">
        <v>10</v>
      </c>
      <c r="E9" s="8" t="s">
        <v>11</v>
      </c>
      <c r="F9" s="8" t="s">
        <v>12</v>
      </c>
      <c r="G9" s="9" t="s">
        <v>9</v>
      </c>
      <c r="I9" s="12" t="s">
        <v>22</v>
      </c>
    </row>
    <row r="10" customFormat="false" ht="14.25" hidden="false" customHeight="false" outlineLevel="0" collapsed="false">
      <c r="A10" s="7" t="n">
        <v>7</v>
      </c>
      <c r="B10" s="8" t="s">
        <v>8</v>
      </c>
      <c r="C10" s="8" t="s">
        <v>14</v>
      </c>
      <c r="D10" s="8" t="s">
        <v>20</v>
      </c>
      <c r="E10" s="8" t="s">
        <v>16</v>
      </c>
      <c r="F10" s="8" t="s">
        <v>17</v>
      </c>
      <c r="G10" s="9" t="s">
        <v>14</v>
      </c>
    </row>
    <row r="11" customFormat="false" ht="14.25" hidden="false" customHeight="false" outlineLevel="0" collapsed="false">
      <c r="A11" s="7" t="n">
        <v>8</v>
      </c>
      <c r="B11" s="8" t="s">
        <v>13</v>
      </c>
      <c r="C11" s="8" t="s">
        <v>9</v>
      </c>
      <c r="D11" s="8" t="s">
        <v>10</v>
      </c>
      <c r="E11" s="8" t="s">
        <v>16</v>
      </c>
      <c r="F11" s="8" t="s">
        <v>12</v>
      </c>
      <c r="G11" s="9" t="s">
        <v>9</v>
      </c>
    </row>
    <row r="12" customFormat="false" ht="14.25" hidden="false" customHeight="false" outlineLevel="0" collapsed="false">
      <c r="A12" s="7" t="n">
        <v>9</v>
      </c>
      <c r="B12" s="8" t="s">
        <v>13</v>
      </c>
      <c r="C12" s="8" t="s">
        <v>14</v>
      </c>
      <c r="D12" s="8" t="s">
        <v>10</v>
      </c>
      <c r="E12" s="8" t="s">
        <v>16</v>
      </c>
      <c r="F12" s="8" t="s">
        <v>17</v>
      </c>
      <c r="G12" s="9" t="s">
        <v>14</v>
      </c>
    </row>
    <row r="13" customFormat="false" ht="14.25" hidden="false" customHeight="false" outlineLevel="0" collapsed="false">
      <c r="A13" s="7" t="n">
        <v>10</v>
      </c>
      <c r="B13" s="8" t="s">
        <v>13</v>
      </c>
      <c r="C13" s="8" t="s">
        <v>9</v>
      </c>
      <c r="D13" s="8" t="s">
        <v>20</v>
      </c>
      <c r="E13" s="8" t="s">
        <v>16</v>
      </c>
      <c r="F13" s="8" t="s">
        <v>17</v>
      </c>
      <c r="G13" s="9" t="s">
        <v>14</v>
      </c>
    </row>
    <row r="14" customFormat="false" ht="14.25" hidden="false" customHeight="false" outlineLevel="0" collapsed="false">
      <c r="A14" s="7" t="n">
        <v>11</v>
      </c>
      <c r="B14" s="8" t="s">
        <v>13</v>
      </c>
      <c r="C14" s="8" t="s">
        <v>9</v>
      </c>
      <c r="D14" s="8" t="s">
        <v>10</v>
      </c>
      <c r="E14" s="8" t="s">
        <v>11</v>
      </c>
      <c r="F14" s="8" t="s">
        <v>12</v>
      </c>
      <c r="G14" s="9" t="s">
        <v>9</v>
      </c>
    </row>
    <row r="15" customFormat="false" ht="14.25" hidden="false" customHeight="false" outlineLevel="0" collapsed="false">
      <c r="A15" s="13" t="n">
        <v>12</v>
      </c>
      <c r="B15" s="14" t="s">
        <v>13</v>
      </c>
      <c r="C15" s="14" t="s">
        <v>14</v>
      </c>
      <c r="D15" s="14" t="s">
        <v>10</v>
      </c>
      <c r="E15" s="14" t="s">
        <v>11</v>
      </c>
      <c r="F15" s="14" t="s">
        <v>12</v>
      </c>
      <c r="G15" s="15" t="s">
        <v>9</v>
      </c>
    </row>
    <row r="17" customFormat="false" ht="14.25" hidden="false" customHeight="false" outlineLevel="0" collapsed="false">
      <c r="A17" s="16" t="s">
        <v>99</v>
      </c>
      <c r="B17" s="16"/>
      <c r="C17" s="16"/>
      <c r="D17" s="16"/>
      <c r="E17" s="16"/>
      <c r="F17" s="16"/>
      <c r="G17" s="16"/>
    </row>
    <row r="18" customFormat="false" ht="14.25" hidden="false" customHeight="false" outlineLevel="0" collapsed="false">
      <c r="A18" s="16"/>
      <c r="B18" s="16"/>
      <c r="C18" s="16"/>
      <c r="D18" s="16"/>
      <c r="E18" s="16"/>
      <c r="F18" s="16"/>
      <c r="G18" s="16"/>
    </row>
    <row r="19" customFormat="false" ht="14.25" hidden="false" customHeight="false" outlineLevel="0" collapsed="false">
      <c r="A19" s="16"/>
      <c r="B19" s="16"/>
      <c r="C19" s="16"/>
      <c r="D19" s="16"/>
      <c r="E19" s="16"/>
      <c r="F19" s="16"/>
      <c r="G19" s="16"/>
    </row>
    <row r="20" customFormat="false" ht="14.25" hidden="false" customHeight="false" outlineLevel="0" collapsed="false">
      <c r="A20" s="16"/>
      <c r="B20" s="16"/>
      <c r="C20" s="16"/>
      <c r="D20" s="16"/>
      <c r="E20" s="16"/>
      <c r="F20" s="16"/>
      <c r="G20" s="16"/>
      <c r="P20" s="17" t="s">
        <v>100</v>
      </c>
    </row>
    <row r="21" customFormat="false" ht="15" hidden="false" customHeight="false" outlineLevel="0" collapsed="false">
      <c r="A21" s="18" t="s">
        <v>25</v>
      </c>
      <c r="B21" s="18"/>
      <c r="C21" s="18"/>
      <c r="D21" s="18"/>
      <c r="E21" s="18"/>
      <c r="F21" s="18"/>
      <c r="G21" s="18"/>
      <c r="I21" s="17" t="s">
        <v>101</v>
      </c>
      <c r="J21" s="1" t="n">
        <v>7</v>
      </c>
      <c r="K21" s="17" t="s">
        <v>102</v>
      </c>
      <c r="L21" s="1" t="n">
        <v>5</v>
      </c>
      <c r="M21" s="86" t="s">
        <v>103</v>
      </c>
      <c r="N21" s="87" t="n">
        <f aca="false">-(J21/(J21+L21))*LOG(J21/(J21+L21),2)-(L21/(J21+L21))*LOG(L21/(J21+L21),2)</f>
        <v>0.979868756651153</v>
      </c>
    </row>
    <row r="22" customFormat="false" ht="14.25" hidden="false" customHeight="false" outlineLevel="0" collapsed="false">
      <c r="M22" s="75" t="s">
        <v>99</v>
      </c>
      <c r="N22" s="75"/>
      <c r="P22" s="20" t="s">
        <v>104</v>
      </c>
      <c r="Q22" s="20"/>
    </row>
    <row r="23" customFormat="false" ht="14.25" hidden="false" customHeight="false" outlineLevel="0" collapsed="false">
      <c r="A23" s="21" t="s">
        <v>28</v>
      </c>
      <c r="B23" s="22"/>
      <c r="C23" s="23" t="s">
        <v>29</v>
      </c>
      <c r="E23" s="21" t="s">
        <v>30</v>
      </c>
      <c r="F23" s="22"/>
      <c r="G23" s="23" t="s">
        <v>29</v>
      </c>
      <c r="P23" s="24" t="s">
        <v>31</v>
      </c>
      <c r="Q23" s="25" t="n">
        <f aca="false">$N$21-(((B24+B25)/12)*N25+((F24+F25)/12)*N24)</f>
        <v>0.0005895962750605</v>
      </c>
    </row>
    <row r="24" customFormat="false" ht="14.25" hidden="false" customHeight="false" outlineLevel="0" collapsed="false">
      <c r="A24" s="26" t="s">
        <v>9</v>
      </c>
      <c r="B24" s="27" t="n">
        <v>4</v>
      </c>
      <c r="C24" s="28" t="n">
        <f aca="false">B24/($B$24+$B$25)</f>
        <v>0.571428571428571</v>
      </c>
      <c r="E24" s="26" t="s">
        <v>9</v>
      </c>
      <c r="F24" s="27" t="n">
        <v>3</v>
      </c>
      <c r="G24" s="28" t="n">
        <f aca="false">F24/($F$24+$F$25)</f>
        <v>0.6</v>
      </c>
      <c r="M24" s="29" t="s">
        <v>13</v>
      </c>
      <c r="N24" s="30" t="n">
        <f aca="false">-IF(G24=0,0,G24*LOG(G24,2))-IF(G25=0,0,G25*LOG(G25,2))</f>
        <v>0.970950594454669</v>
      </c>
    </row>
    <row r="25" customFormat="false" ht="14.25" hidden="false" customHeight="false" outlineLevel="0" collapsed="false">
      <c r="A25" s="31" t="s">
        <v>14</v>
      </c>
      <c r="B25" s="32" t="n">
        <v>3</v>
      </c>
      <c r="C25" s="33" t="n">
        <f aca="false">B25/($B$24+$B$25)</f>
        <v>0.428571428571429</v>
      </c>
      <c r="E25" s="31" t="s">
        <v>14</v>
      </c>
      <c r="F25" s="32" t="n">
        <v>2</v>
      </c>
      <c r="G25" s="33" t="n">
        <f aca="false">F25/($F$24+$F$25)</f>
        <v>0.4</v>
      </c>
      <c r="M25" s="32" t="s">
        <v>8</v>
      </c>
      <c r="N25" s="25" t="n">
        <f aca="false">-IF(C24=0,0,C24*LOG(C24,2))-IF(C25=0,0,C25*LOG(C25,2))</f>
        <v>0.985228136034252</v>
      </c>
    </row>
    <row r="27" customFormat="false" ht="14.25" hidden="false" customHeight="false" outlineLevel="0" collapsed="false">
      <c r="A27" s="21" t="s">
        <v>32</v>
      </c>
      <c r="B27" s="22"/>
      <c r="C27" s="23" t="s">
        <v>29</v>
      </c>
      <c r="E27" s="21" t="s">
        <v>33</v>
      </c>
      <c r="F27" s="22"/>
      <c r="G27" s="23" t="s">
        <v>29</v>
      </c>
      <c r="P27" s="24" t="s">
        <v>34</v>
      </c>
      <c r="Q27" s="25" t="n">
        <f aca="false">$N$21-(((B28+B29)/12)*N29+((F28+F29)/12)*N28)</f>
        <v>0.0102460880345095</v>
      </c>
    </row>
    <row r="28" customFormat="false" ht="14.25" hidden="false" customHeight="false" outlineLevel="0" collapsed="false">
      <c r="A28" s="26" t="s">
        <v>9</v>
      </c>
      <c r="B28" s="27" t="n">
        <v>5</v>
      </c>
      <c r="C28" s="28" t="n">
        <f aca="false">B28/($B$28+$B$29)</f>
        <v>0.625</v>
      </c>
      <c r="E28" s="26" t="s">
        <v>9</v>
      </c>
      <c r="F28" s="27" t="n">
        <v>2</v>
      </c>
      <c r="G28" s="28" t="n">
        <f aca="false">F28/(F28+F29)</f>
        <v>0.5</v>
      </c>
      <c r="M28" s="29" t="s">
        <v>14</v>
      </c>
      <c r="N28" s="30" t="n">
        <f aca="false">-IF(G28=0,0,G28*LOG(G28,2))-IF(G29=0,0,G29*LOG(G29,2))</f>
        <v>1</v>
      </c>
    </row>
    <row r="29" customFormat="false" ht="14.25" hidden="false" customHeight="false" outlineLevel="0" collapsed="false">
      <c r="A29" s="31" t="s">
        <v>14</v>
      </c>
      <c r="B29" s="32" t="n">
        <v>3</v>
      </c>
      <c r="C29" s="33" t="n">
        <f aca="false">B29/($B$28+$B$29)</f>
        <v>0.375</v>
      </c>
      <c r="E29" s="31" t="s">
        <v>14</v>
      </c>
      <c r="F29" s="32" t="n">
        <v>2</v>
      </c>
      <c r="G29" s="33" t="n">
        <f aca="false">F29/(F28+F29)</f>
        <v>0.5</v>
      </c>
      <c r="M29" s="32" t="s">
        <v>9</v>
      </c>
      <c r="N29" s="25" t="n">
        <f aca="false">-IF(C28=0,0,C28*LOG(C28,2))-IF(C29=0,0,C29*LOG(C29,2))</f>
        <v>0.954434002924965</v>
      </c>
    </row>
    <row r="31" customFormat="false" ht="14.25" hidden="false" customHeight="false" outlineLevel="0" collapsed="false">
      <c r="A31" s="21" t="s">
        <v>35</v>
      </c>
      <c r="B31" s="22"/>
      <c r="C31" s="23" t="s">
        <v>29</v>
      </c>
      <c r="E31" s="21" t="s">
        <v>36</v>
      </c>
      <c r="F31" s="22"/>
      <c r="G31" s="23" t="s">
        <v>29</v>
      </c>
      <c r="I31" s="21" t="s">
        <v>37</v>
      </c>
      <c r="J31" s="22"/>
      <c r="K31" s="23" t="s">
        <v>29</v>
      </c>
      <c r="M31" s="29" t="s">
        <v>15</v>
      </c>
      <c r="N31" s="30" t="n">
        <f aca="false">-IF(K32=0,0,K32*LOG(K32,2))-IF(K33=0,0,K33*LOG(K33,2))</f>
        <v>-0</v>
      </c>
      <c r="P31" s="24" t="s">
        <v>38</v>
      </c>
      <c r="Q31" s="25" t="n">
        <f aca="false">$N$21-(((B32+B33)/12)*N33+((F32+F33)/12)*N32+((J32+J33)/12)*N31)</f>
        <v>0.209442715164775</v>
      </c>
    </row>
    <row r="32" customFormat="false" ht="14.25" hidden="false" customHeight="false" outlineLevel="0" collapsed="false">
      <c r="A32" s="26" t="s">
        <v>9</v>
      </c>
      <c r="B32" s="27" t="n">
        <v>6</v>
      </c>
      <c r="C32" s="28" t="n">
        <f aca="false">B32/(B32+B33)</f>
        <v>0.75</v>
      </c>
      <c r="E32" s="26" t="s">
        <v>9</v>
      </c>
      <c r="F32" s="27" t="n">
        <v>1</v>
      </c>
      <c r="G32" s="28" t="n">
        <f aca="false">F32/(F32+F33)</f>
        <v>0.333333333333333</v>
      </c>
      <c r="I32" s="26" t="s">
        <v>9</v>
      </c>
      <c r="J32" s="27" t="n">
        <v>0</v>
      </c>
      <c r="K32" s="28" t="n">
        <f aca="false">J32/(J32+J33)</f>
        <v>0</v>
      </c>
      <c r="M32" s="27" t="s">
        <v>20</v>
      </c>
      <c r="N32" s="34" t="n">
        <f aca="false">-IF(G32=0,0,G32*LOG(G32,2))-IF(G33=0,0,G33*LOG(G33,2))</f>
        <v>0.91829583405449</v>
      </c>
    </row>
    <row r="33" customFormat="false" ht="14.25" hidden="false" customHeight="false" outlineLevel="0" collapsed="false">
      <c r="A33" s="31" t="s">
        <v>14</v>
      </c>
      <c r="B33" s="32" t="n">
        <v>2</v>
      </c>
      <c r="C33" s="33" t="n">
        <f aca="false">B33/(B32+B33)</f>
        <v>0.25</v>
      </c>
      <c r="E33" s="31" t="s">
        <v>14</v>
      </c>
      <c r="F33" s="32" t="n">
        <v>2</v>
      </c>
      <c r="G33" s="33" t="n">
        <f aca="false">F33/(F32+F33)</f>
        <v>0.666666666666667</v>
      </c>
      <c r="I33" s="31" t="s">
        <v>14</v>
      </c>
      <c r="J33" s="32" t="n">
        <v>1</v>
      </c>
      <c r="K33" s="33" t="n">
        <f aca="false">J33/(J32+J33)</f>
        <v>1</v>
      </c>
      <c r="M33" s="32" t="s">
        <v>10</v>
      </c>
      <c r="N33" s="25" t="n">
        <f aca="false">-IF(C32=0,0,C32*LOG(C32,2))-IF(C33=0,0,C33*LOG(C33,2))</f>
        <v>0.811278124459133</v>
      </c>
    </row>
    <row r="35" customFormat="false" ht="14.25" hidden="false" customHeight="false" outlineLevel="0" collapsed="false">
      <c r="A35" s="21" t="s">
        <v>39</v>
      </c>
      <c r="B35" s="22"/>
      <c r="C35" s="23" t="s">
        <v>29</v>
      </c>
      <c r="E35" s="21" t="s">
        <v>40</v>
      </c>
      <c r="F35" s="22"/>
      <c r="G35" s="23" t="s">
        <v>29</v>
      </c>
      <c r="P35" s="24" t="s">
        <v>41</v>
      </c>
      <c r="Q35" s="25" t="n">
        <f aca="false">$N$21-(((B36+B37)/12)*N37+((F36+F37)/12)*N36)</f>
        <v>0.104348971094771</v>
      </c>
    </row>
    <row r="36" customFormat="false" ht="14.25" hidden="false" customHeight="false" outlineLevel="0" collapsed="false">
      <c r="A36" s="26" t="s">
        <v>9</v>
      </c>
      <c r="B36" s="27" t="n">
        <v>4</v>
      </c>
      <c r="C36" s="28" t="n">
        <f aca="false">B36/(B36+B37)</f>
        <v>0.8</v>
      </c>
      <c r="E36" s="26" t="s">
        <v>9</v>
      </c>
      <c r="F36" s="27" t="n">
        <v>3</v>
      </c>
      <c r="G36" s="28" t="n">
        <f aca="false">F36/(F36+F37)</f>
        <v>0.428571428571429</v>
      </c>
      <c r="M36" s="29" t="s">
        <v>16</v>
      </c>
      <c r="N36" s="30" t="n">
        <f aca="false">-IF(G36=0,0,G36*LOG(G36,2))-IF(G37=0,0,G37*LOG(G37,2))</f>
        <v>0.985228136034252</v>
      </c>
    </row>
    <row r="37" customFormat="false" ht="14.25" hidden="false" customHeight="false" outlineLevel="0" collapsed="false">
      <c r="A37" s="31" t="s">
        <v>14</v>
      </c>
      <c r="B37" s="32" t="n">
        <v>1</v>
      </c>
      <c r="C37" s="33" t="n">
        <f aca="false">B37/(B36+B37)</f>
        <v>0.2</v>
      </c>
      <c r="E37" s="31" t="s">
        <v>14</v>
      </c>
      <c r="F37" s="32" t="n">
        <v>4</v>
      </c>
      <c r="G37" s="33" t="n">
        <f aca="false">F37/(F36+F37)</f>
        <v>0.571428571428571</v>
      </c>
      <c r="M37" s="32" t="s">
        <v>11</v>
      </c>
      <c r="N37" s="25" t="n">
        <f aca="false">-IF(C36=0,0,C36*LOG(C36,2))-IF(C37=0,0,C37*LOG(C37,2))</f>
        <v>0.721928094887362</v>
      </c>
    </row>
    <row r="39" customFormat="false" ht="14.25" hidden="false" customHeight="false" outlineLevel="0" collapsed="false">
      <c r="A39" s="21" t="s">
        <v>42</v>
      </c>
      <c r="B39" s="22"/>
      <c r="C39" s="23" t="s">
        <v>29</v>
      </c>
      <c r="E39" s="21" t="s">
        <v>43</v>
      </c>
      <c r="F39" s="22"/>
      <c r="G39" s="23" t="s">
        <v>29</v>
      </c>
      <c r="P39" s="35" t="s">
        <v>44</v>
      </c>
      <c r="Q39" s="36" t="n">
        <f aca="false">$N$21-(((B40+B41)/12)*N41+((F40+F41)/12)*N40)</f>
        <v>0.617492461184755</v>
      </c>
    </row>
    <row r="40" customFormat="false" ht="14.25" hidden="false" customHeight="false" outlineLevel="0" collapsed="false">
      <c r="A40" s="26" t="s">
        <v>9</v>
      </c>
      <c r="B40" s="27" t="n">
        <v>7</v>
      </c>
      <c r="C40" s="28" t="n">
        <f aca="false">B40/(B40+B41)</f>
        <v>0.875</v>
      </c>
      <c r="E40" s="26" t="s">
        <v>9</v>
      </c>
      <c r="F40" s="27" t="n">
        <v>0</v>
      </c>
      <c r="G40" s="28" t="n">
        <f aca="false">F40/(F40+F41)</f>
        <v>0</v>
      </c>
      <c r="M40" s="29" t="s">
        <v>17</v>
      </c>
      <c r="N40" s="30" t="n">
        <f aca="false">-IF(G40=0,0,G40*LOG(G40,2))-IF(G41=0,0,G41*LOG(G41,2))</f>
        <v>-0</v>
      </c>
    </row>
    <row r="41" customFormat="false" ht="14.25" hidden="false" customHeight="false" outlineLevel="0" collapsed="false">
      <c r="A41" s="31" t="s">
        <v>14</v>
      </c>
      <c r="B41" s="32" t="n">
        <v>1</v>
      </c>
      <c r="C41" s="33" t="n">
        <f aca="false">B41/(B40+B41)</f>
        <v>0.125</v>
      </c>
      <c r="E41" s="31" t="s">
        <v>14</v>
      </c>
      <c r="F41" s="32" t="n">
        <v>4</v>
      </c>
      <c r="G41" s="33" t="n">
        <f aca="false">F41/(F40+F41)</f>
        <v>1</v>
      </c>
      <c r="M41" s="32" t="s">
        <v>12</v>
      </c>
      <c r="N41" s="25" t="n">
        <f aca="false">-IF(C40=0,0,C40*LOG(C40,2))-IF(C41=0,0,C41*LOG(C41,2))</f>
        <v>0.543564443199596</v>
      </c>
    </row>
    <row r="44" customFormat="false" ht="15" hidden="false" customHeight="false" outlineLevel="0" collapsed="false">
      <c r="A44" s="37" t="s">
        <v>42</v>
      </c>
      <c r="B44" s="37"/>
      <c r="C44" s="37"/>
      <c r="D44" s="37"/>
      <c r="E44" s="37"/>
      <c r="F44" s="37"/>
      <c r="G44" s="37"/>
    </row>
    <row r="45" customFormat="false" ht="14.25" hidden="false" customHeight="false" outlineLevel="0" collapsed="false">
      <c r="A45" s="38" t="n">
        <v>1</v>
      </c>
      <c r="B45" s="39" t="s">
        <v>8</v>
      </c>
      <c r="C45" s="39" t="s">
        <v>9</v>
      </c>
      <c r="D45" s="39" t="s">
        <v>10</v>
      </c>
      <c r="E45" s="39" t="s">
        <v>11</v>
      </c>
      <c r="F45" s="39" t="s">
        <v>12</v>
      </c>
      <c r="G45" s="40" t="s">
        <v>9</v>
      </c>
    </row>
    <row r="46" customFormat="false" ht="14.25" hidden="false" customHeight="false" outlineLevel="0" collapsed="false">
      <c r="A46" s="41" t="n">
        <v>3</v>
      </c>
      <c r="B46" s="29" t="s">
        <v>8</v>
      </c>
      <c r="C46" s="29" t="s">
        <v>9</v>
      </c>
      <c r="D46" s="29" t="s">
        <v>10</v>
      </c>
      <c r="E46" s="29" t="s">
        <v>16</v>
      </c>
      <c r="F46" s="29" t="s">
        <v>12</v>
      </c>
      <c r="G46" s="42" t="s">
        <v>9</v>
      </c>
    </row>
    <row r="47" customFormat="false" ht="14.25" hidden="false" customHeight="false" outlineLevel="0" collapsed="false">
      <c r="A47" s="43" t="n">
        <v>4</v>
      </c>
      <c r="B47" s="27" t="s">
        <v>8</v>
      </c>
      <c r="C47" s="27" t="s">
        <v>9</v>
      </c>
      <c r="D47" s="27" t="s">
        <v>20</v>
      </c>
      <c r="E47" s="27" t="s">
        <v>16</v>
      </c>
      <c r="F47" s="27" t="s">
        <v>12</v>
      </c>
      <c r="G47" s="44" t="s">
        <v>9</v>
      </c>
    </row>
    <row r="48" customFormat="false" ht="14.25" hidden="false" customHeight="false" outlineLevel="0" collapsed="false">
      <c r="A48" s="43" t="n">
        <v>5</v>
      </c>
      <c r="B48" s="27" t="s">
        <v>8</v>
      </c>
      <c r="C48" s="27" t="s">
        <v>9</v>
      </c>
      <c r="D48" s="27" t="s">
        <v>15</v>
      </c>
      <c r="E48" s="27" t="s">
        <v>16</v>
      </c>
      <c r="F48" s="27" t="s">
        <v>12</v>
      </c>
      <c r="G48" s="44" t="s">
        <v>14</v>
      </c>
      <c r="P48" s="17" t="s">
        <v>100</v>
      </c>
    </row>
    <row r="49" customFormat="false" ht="14.25" hidden="false" customHeight="false" outlineLevel="0" collapsed="false">
      <c r="A49" s="43" t="n">
        <v>6</v>
      </c>
      <c r="B49" s="27" t="s">
        <v>8</v>
      </c>
      <c r="C49" s="27" t="s">
        <v>14</v>
      </c>
      <c r="D49" s="27" t="s">
        <v>10</v>
      </c>
      <c r="E49" s="27" t="s">
        <v>11</v>
      </c>
      <c r="F49" s="27" t="s">
        <v>12</v>
      </c>
      <c r="G49" s="44" t="s">
        <v>9</v>
      </c>
    </row>
    <row r="50" customFormat="false" ht="14.25" hidden="false" customHeight="false" outlineLevel="0" collapsed="false">
      <c r="A50" s="43" t="n">
        <v>8</v>
      </c>
      <c r="B50" s="27" t="s">
        <v>13</v>
      </c>
      <c r="C50" s="27" t="s">
        <v>9</v>
      </c>
      <c r="D50" s="27" t="s">
        <v>10</v>
      </c>
      <c r="E50" s="27" t="s">
        <v>16</v>
      </c>
      <c r="F50" s="27" t="s">
        <v>12</v>
      </c>
      <c r="G50" s="44" t="s">
        <v>9</v>
      </c>
    </row>
    <row r="51" customFormat="false" ht="14.25" hidden="false" customHeight="false" outlineLevel="0" collapsed="false">
      <c r="A51" s="43" t="n">
        <v>11</v>
      </c>
      <c r="B51" s="27" t="s">
        <v>13</v>
      </c>
      <c r="C51" s="27" t="s">
        <v>9</v>
      </c>
      <c r="D51" s="27" t="s">
        <v>10</v>
      </c>
      <c r="E51" s="27" t="s">
        <v>11</v>
      </c>
      <c r="F51" s="27" t="s">
        <v>12</v>
      </c>
      <c r="G51" s="44" t="s">
        <v>9</v>
      </c>
    </row>
    <row r="52" customFormat="false" ht="14.25" hidden="false" customHeight="false" outlineLevel="0" collapsed="false">
      <c r="A52" s="45" t="n">
        <v>12</v>
      </c>
      <c r="B52" s="46" t="s">
        <v>13</v>
      </c>
      <c r="C52" s="46" t="s">
        <v>14</v>
      </c>
      <c r="D52" s="46" t="s">
        <v>10</v>
      </c>
      <c r="E52" s="46" t="s">
        <v>11</v>
      </c>
      <c r="F52" s="46" t="s">
        <v>12</v>
      </c>
      <c r="G52" s="47" t="s">
        <v>9</v>
      </c>
    </row>
    <row r="53" customFormat="false" ht="14.25" hidden="false" customHeight="false" outlineLevel="0" collapsed="false">
      <c r="I53" s="17" t="s">
        <v>101</v>
      </c>
      <c r="J53" s="1" t="n">
        <v>7</v>
      </c>
      <c r="K53" s="17" t="s">
        <v>102</v>
      </c>
      <c r="L53" s="1" t="n">
        <v>1</v>
      </c>
      <c r="M53" s="86" t="s">
        <v>105</v>
      </c>
      <c r="N53" s="87" t="n">
        <f aca="false">-(J53/(J53+L53))*LOG(J53/(J53+L53),2)-(L53/(J53+L53))*LOG(L53/(J53+L53),2)</f>
        <v>0.543564443199596</v>
      </c>
    </row>
    <row r="54" customFormat="false" ht="14.25" hidden="false" customHeight="false" outlineLevel="0" collapsed="false">
      <c r="M54" s="75" t="s">
        <v>99</v>
      </c>
      <c r="N54" s="75"/>
      <c r="P54" s="20" t="s">
        <v>104</v>
      </c>
      <c r="Q54" s="20"/>
    </row>
    <row r="55" customFormat="false" ht="14.25" hidden="false" customHeight="false" outlineLevel="0" collapsed="false">
      <c r="A55" s="22" t="s">
        <v>28</v>
      </c>
      <c r="B55" s="22"/>
      <c r="C55" s="22" t="s">
        <v>29</v>
      </c>
      <c r="E55" s="22" t="s">
        <v>30</v>
      </c>
      <c r="F55" s="22"/>
      <c r="G55" s="22" t="s">
        <v>29</v>
      </c>
      <c r="P55" s="24" t="s">
        <v>31</v>
      </c>
      <c r="Q55" s="25" t="n">
        <f aca="false">$N$53-(((B56+B57)/12)*N57+((F56+F57)/12)*N56)</f>
        <v>0.242761070329862</v>
      </c>
    </row>
    <row r="56" customFormat="false" ht="14.25" hidden="false" customHeight="false" outlineLevel="0" collapsed="false">
      <c r="A56" s="26" t="s">
        <v>9</v>
      </c>
      <c r="B56" s="27" t="n">
        <v>4</v>
      </c>
      <c r="C56" s="28" t="n">
        <f aca="false">B56/(B56+B57)</f>
        <v>0.8</v>
      </c>
      <c r="E56" s="26" t="s">
        <v>9</v>
      </c>
      <c r="F56" s="27" t="n">
        <v>3</v>
      </c>
      <c r="G56" s="28" t="n">
        <f aca="false">F56/(F56+F57)</f>
        <v>1</v>
      </c>
      <c r="M56" s="29" t="s">
        <v>13</v>
      </c>
      <c r="N56" s="30" t="n">
        <f aca="false">-IF(G56=0,0,G56*LOG(G56,2))-IF(G57=0,0,G57*LOG(G57,2))</f>
        <v>-0</v>
      </c>
    </row>
    <row r="57" customFormat="false" ht="14.25" hidden="false" customHeight="false" outlineLevel="0" collapsed="false">
      <c r="A57" s="31" t="s">
        <v>14</v>
      </c>
      <c r="B57" s="32" t="n">
        <v>1</v>
      </c>
      <c r="C57" s="33" t="n">
        <f aca="false">B57/(B56+B57)</f>
        <v>0.2</v>
      </c>
      <c r="E57" s="31" t="s">
        <v>14</v>
      </c>
      <c r="F57" s="32" t="n">
        <v>0</v>
      </c>
      <c r="G57" s="33" t="n">
        <f aca="false">F57/(F56+F57)</f>
        <v>0</v>
      </c>
      <c r="M57" s="32" t="s">
        <v>8</v>
      </c>
      <c r="N57" s="25" t="n">
        <f aca="false">-IF(C56=0,0,C56*LOG(C56,2))-IF(C57=0,0,C57*LOG(C57,2))</f>
        <v>0.721928094887362</v>
      </c>
    </row>
    <row r="59" customFormat="false" ht="14.25" hidden="false" customHeight="false" outlineLevel="0" collapsed="false">
      <c r="A59" s="22" t="s">
        <v>32</v>
      </c>
      <c r="B59" s="22"/>
      <c r="C59" s="22" t="s">
        <v>29</v>
      </c>
      <c r="E59" s="22" t="s">
        <v>33</v>
      </c>
      <c r="F59" s="22"/>
      <c r="G59" s="22" t="s">
        <v>29</v>
      </c>
      <c r="P59" s="24" t="s">
        <v>34</v>
      </c>
      <c r="Q59" s="25" t="n">
        <f aca="false">$N$53-(((B60+B61)/12)*N61+((F60+F61)/12)*N60)</f>
        <v>0.218553232375419</v>
      </c>
    </row>
    <row r="60" customFormat="false" ht="14.25" hidden="false" customHeight="false" outlineLevel="0" collapsed="false">
      <c r="A60" s="26" t="s">
        <v>9</v>
      </c>
      <c r="B60" s="27" t="n">
        <v>5</v>
      </c>
      <c r="C60" s="28" t="n">
        <f aca="false">B60/(B60+B61)</f>
        <v>0.833333333333333</v>
      </c>
      <c r="E60" s="26" t="s">
        <v>9</v>
      </c>
      <c r="F60" s="27" t="n">
        <v>2</v>
      </c>
      <c r="G60" s="28" t="n">
        <f aca="false">F60/(F60+F61)</f>
        <v>1</v>
      </c>
      <c r="M60" s="29" t="s">
        <v>14</v>
      </c>
      <c r="N60" s="30" t="n">
        <f aca="false">-IF(G60=0,0,G60*LOG(G60,2))-IF(G61=0,0,G61*LOG(G61,2))</f>
        <v>-0</v>
      </c>
    </row>
    <row r="61" customFormat="false" ht="14.25" hidden="false" customHeight="false" outlineLevel="0" collapsed="false">
      <c r="A61" s="31" t="s">
        <v>14</v>
      </c>
      <c r="B61" s="32" t="n">
        <v>1</v>
      </c>
      <c r="C61" s="33" t="n">
        <f aca="false">B61/(B60+B61)</f>
        <v>0.166666666666667</v>
      </c>
      <c r="E61" s="31" t="s">
        <v>14</v>
      </c>
      <c r="F61" s="32" t="n">
        <v>0</v>
      </c>
      <c r="G61" s="33" t="n">
        <f aca="false">F61/(F60+F61)</f>
        <v>0</v>
      </c>
      <c r="M61" s="32" t="s">
        <v>9</v>
      </c>
      <c r="N61" s="25" t="n">
        <f aca="false">-IF(C60=0,0,C60*LOG(C60,2))-IF(C61=0,0,C61*LOG(C61,2))</f>
        <v>0.650022421648354</v>
      </c>
    </row>
    <row r="63" customFormat="false" ht="14.25" hidden="false" customHeight="false" outlineLevel="0" collapsed="false">
      <c r="A63" s="22" t="s">
        <v>35</v>
      </c>
      <c r="B63" s="22"/>
      <c r="C63" s="22" t="s">
        <v>29</v>
      </c>
      <c r="E63" s="22" t="s">
        <v>36</v>
      </c>
      <c r="F63" s="22"/>
      <c r="G63" s="22" t="s">
        <v>29</v>
      </c>
      <c r="I63" s="22" t="s">
        <v>37</v>
      </c>
      <c r="J63" s="22"/>
      <c r="K63" s="22" t="s">
        <v>29</v>
      </c>
      <c r="M63" s="29" t="s">
        <v>15</v>
      </c>
      <c r="N63" s="30" t="n">
        <f aca="false">-IF(K64=0,0,K64*LOG(K64,2))-IF(K65=0,0,K65*LOG(K65,2))</f>
        <v>-0</v>
      </c>
      <c r="P63" s="35" t="s">
        <v>38</v>
      </c>
      <c r="Q63" s="36" t="n">
        <f aca="false">$N$53-(((B64+B65)/12)*N65+((F64+F65)/12)*N64+((J64+J65)/12)*N63)</f>
        <v>0.543564443199596</v>
      </c>
    </row>
    <row r="64" customFormat="false" ht="14.25" hidden="false" customHeight="false" outlineLevel="0" collapsed="false">
      <c r="A64" s="26" t="s">
        <v>9</v>
      </c>
      <c r="B64" s="27" t="n">
        <v>6</v>
      </c>
      <c r="C64" s="28" t="n">
        <f aca="false">B64/(B64+B65)</f>
        <v>1</v>
      </c>
      <c r="E64" s="26" t="s">
        <v>9</v>
      </c>
      <c r="F64" s="27" t="n">
        <v>1</v>
      </c>
      <c r="G64" s="28" t="n">
        <f aca="false">F64/(F64+F65)</f>
        <v>1</v>
      </c>
      <c r="I64" s="26" t="s">
        <v>9</v>
      </c>
      <c r="J64" s="27" t="n">
        <v>0</v>
      </c>
      <c r="K64" s="28" t="n">
        <f aca="false">J64/(J64+J65)</f>
        <v>0</v>
      </c>
      <c r="M64" s="27" t="s">
        <v>20</v>
      </c>
      <c r="N64" s="34" t="n">
        <f aca="false">-IF(G64=0,0,G64*LOG(G64,2))-IF(G65=0,0,G65*LOG(G65,2))</f>
        <v>-0</v>
      </c>
    </row>
    <row r="65" customFormat="false" ht="14.25" hidden="false" customHeight="false" outlineLevel="0" collapsed="false">
      <c r="A65" s="31" t="s">
        <v>14</v>
      </c>
      <c r="B65" s="32" t="n">
        <v>0</v>
      </c>
      <c r="C65" s="33" t="n">
        <f aca="false">B65/(B64+B65)</f>
        <v>0</v>
      </c>
      <c r="E65" s="31" t="s">
        <v>14</v>
      </c>
      <c r="F65" s="32" t="n">
        <v>0</v>
      </c>
      <c r="G65" s="33" t="n">
        <f aca="false">F65/(F64+F65)</f>
        <v>0</v>
      </c>
      <c r="I65" s="31" t="s">
        <v>14</v>
      </c>
      <c r="J65" s="32" t="n">
        <v>1</v>
      </c>
      <c r="K65" s="33" t="n">
        <f aca="false">J65/(J64+J65)</f>
        <v>1</v>
      </c>
      <c r="M65" s="32" t="s">
        <v>10</v>
      </c>
      <c r="N65" s="25" t="n">
        <f aca="false">-IF(C64=0,0,C64*LOG(C64,2))-IF(C65=0,0,C65*LOG(C65,2))</f>
        <v>-0</v>
      </c>
    </row>
    <row r="67" customFormat="false" ht="14.25" hidden="false" customHeight="false" outlineLevel="0" collapsed="false">
      <c r="A67" s="22" t="s">
        <v>39</v>
      </c>
      <c r="B67" s="22"/>
      <c r="C67" s="22" t="s">
        <v>29</v>
      </c>
      <c r="E67" s="22" t="s">
        <v>40</v>
      </c>
      <c r="F67" s="22"/>
      <c r="G67" s="22" t="s">
        <v>29</v>
      </c>
      <c r="P67" s="24" t="s">
        <v>41</v>
      </c>
      <c r="Q67" s="25" t="n">
        <f aca="false">$N$53-(((B68+B69)/12)*N69+((F68+F69)/12)*N68)</f>
        <v>0.273138401713219</v>
      </c>
    </row>
    <row r="68" customFormat="false" ht="14.25" hidden="false" customHeight="false" outlineLevel="0" collapsed="false">
      <c r="A68" s="26" t="s">
        <v>9</v>
      </c>
      <c r="B68" s="27" t="n">
        <v>4</v>
      </c>
      <c r="C68" s="28" t="n">
        <f aca="false">B68/(B68+B69)</f>
        <v>1</v>
      </c>
      <c r="E68" s="26" t="s">
        <v>9</v>
      </c>
      <c r="F68" s="27" t="n">
        <v>3</v>
      </c>
      <c r="G68" s="28" t="n">
        <f aca="false">F68/(F68+F69)</f>
        <v>0.75</v>
      </c>
      <c r="M68" s="29" t="s">
        <v>16</v>
      </c>
      <c r="N68" s="30" t="n">
        <f aca="false">-IF(G68=0,0,G68*LOG(G68,2))-IF(G69=0,0,G69*LOG(G69,2))</f>
        <v>0.811278124459133</v>
      </c>
    </row>
    <row r="69" customFormat="false" ht="14.25" hidden="false" customHeight="false" outlineLevel="0" collapsed="false">
      <c r="A69" s="31" t="s">
        <v>14</v>
      </c>
      <c r="B69" s="32" t="n">
        <v>0</v>
      </c>
      <c r="C69" s="33" t="n">
        <f aca="false">B69/(B68+B69)</f>
        <v>0</v>
      </c>
      <c r="E69" s="31" t="s">
        <v>14</v>
      </c>
      <c r="F69" s="32" t="n">
        <v>1</v>
      </c>
      <c r="G69" s="33" t="n">
        <f aca="false">F69/(F68+F69)</f>
        <v>0.25</v>
      </c>
      <c r="M69" s="32" t="s">
        <v>11</v>
      </c>
      <c r="N69" s="25" t="n">
        <f aca="false">-IF(C68=0,0,C68*LOG(C68,2))-IF(C69=0,0,C69*LOG(C69,2))</f>
        <v>-0</v>
      </c>
    </row>
    <row r="72" customFormat="false" ht="15" hidden="false" customHeight="false" outlineLevel="0" collapsed="false">
      <c r="A72" s="48" t="s">
        <v>45</v>
      </c>
    </row>
    <row r="73" customFormat="false" ht="14.25" hidden="false" customHeight="false" outlineLevel="0" collapsed="false">
      <c r="A73" s="49" t="s">
        <v>46</v>
      </c>
    </row>
    <row r="74" customFormat="false" ht="14.25" hidden="false" customHeight="false" outlineLevel="0" collapsed="false">
      <c r="A74" s="50" t="s">
        <v>47</v>
      </c>
    </row>
    <row r="77" customFormat="false" ht="17.35" hidden="false" customHeight="false" outlineLevel="0" collapsed="false">
      <c r="A77" s="51" t="s">
        <v>106</v>
      </c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</row>
    <row r="78" customFormat="false" ht="14.25" hidden="false" customHeight="false" outlineLevel="0" collapsed="false">
      <c r="A78" s="35" t="s">
        <v>107</v>
      </c>
      <c r="B78" s="35"/>
      <c r="C78" s="35"/>
      <c r="D78" s="52" t="s">
        <v>108</v>
      </c>
      <c r="E78" s="52"/>
      <c r="F78" s="52"/>
      <c r="G78" s="52"/>
      <c r="H78" s="52"/>
      <c r="I78" s="52"/>
      <c r="J78" s="52"/>
      <c r="K78" s="52"/>
      <c r="L78" s="52"/>
      <c r="M78" s="52"/>
      <c r="N78" s="52"/>
    </row>
    <row r="79" customFormat="false" ht="14.25" hidden="false" customHeight="false" outlineLevel="0" collapsed="false">
      <c r="A79" s="35" t="s">
        <v>109</v>
      </c>
      <c r="B79" s="35"/>
      <c r="C79" s="35"/>
      <c r="D79" s="52" t="s">
        <v>110</v>
      </c>
      <c r="E79" s="52"/>
      <c r="F79" s="52"/>
      <c r="G79" s="52"/>
      <c r="H79" s="52"/>
      <c r="I79" s="52"/>
      <c r="J79" s="52"/>
      <c r="K79" s="52"/>
      <c r="L79" s="52"/>
      <c r="M79" s="52"/>
      <c r="N79" s="52"/>
    </row>
    <row r="80" customFormat="false" ht="14.25" hidden="false" customHeight="false" outlineLevel="0" collapsed="false">
      <c r="A80" s="35" t="s">
        <v>53</v>
      </c>
      <c r="B80" s="35"/>
      <c r="C80" s="35"/>
      <c r="D80" s="53" t="s">
        <v>111</v>
      </c>
      <c r="E80" s="53"/>
      <c r="F80" s="53"/>
      <c r="G80" s="53"/>
      <c r="H80" s="53"/>
      <c r="I80" s="53"/>
      <c r="J80" s="53"/>
      <c r="K80" s="53"/>
      <c r="L80" s="53"/>
      <c r="M80" s="53"/>
      <c r="N80" s="53"/>
    </row>
    <row r="81" customFormat="false" ht="17.35" hidden="false" customHeight="false" outlineLevel="0" collapsed="false">
      <c r="A81" s="54"/>
    </row>
    <row r="83" customFormat="false" ht="14.25" hidden="false" customHeight="false" outlineLevel="0" collapsed="false">
      <c r="A83" s="55" t="s">
        <v>55</v>
      </c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</row>
    <row r="84" customFormat="false" ht="14.25" hidden="false" customHeight="false" outlineLevel="0" collapsed="false">
      <c r="A84" s="56" t="s">
        <v>112</v>
      </c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</row>
    <row r="86" customFormat="false" ht="14.25" hidden="false" customHeight="false" outlineLevel="0" collapsed="false">
      <c r="A86" s="17" t="s">
        <v>113</v>
      </c>
    </row>
    <row r="88" customFormat="false" ht="14.25" hidden="false" customHeight="false" outlineLevel="0" collapsed="false">
      <c r="A88" s="57" t="s">
        <v>58</v>
      </c>
      <c r="B88" s="57"/>
      <c r="C88" s="57"/>
      <c r="D88" s="58" t="s">
        <v>114</v>
      </c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9" t="s">
        <v>104</v>
      </c>
      <c r="P88" s="59"/>
      <c r="Q88" s="59"/>
    </row>
    <row r="89" customFormat="false" ht="14.25" hidden="false" customHeight="false" outlineLevel="0" collapsed="false">
      <c r="A89" s="60" t="s">
        <v>31</v>
      </c>
      <c r="B89" s="60"/>
      <c r="C89" s="60"/>
      <c r="D89" s="31" t="s">
        <v>115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61" t="n">
        <f aca="false">Q23</f>
        <v>0.0005895962750605</v>
      </c>
      <c r="P89" s="61"/>
      <c r="Q89" s="61"/>
    </row>
    <row r="90" customFormat="false" ht="14.25" hidden="false" customHeight="false" outlineLevel="0" collapsed="false">
      <c r="A90" s="60" t="s">
        <v>34</v>
      </c>
      <c r="B90" s="60"/>
      <c r="C90" s="60"/>
      <c r="D90" s="31" t="s">
        <v>116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61" t="n">
        <f aca="false">Q27</f>
        <v>0.0102460880345095</v>
      </c>
      <c r="P90" s="61"/>
      <c r="Q90" s="61"/>
    </row>
    <row r="91" customFormat="false" ht="14.25" hidden="false" customHeight="false" outlineLevel="0" collapsed="false">
      <c r="A91" s="60" t="s">
        <v>38</v>
      </c>
      <c r="B91" s="60"/>
      <c r="C91" s="60"/>
      <c r="D91" s="31" t="s">
        <v>117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61" t="n">
        <f aca="false">Q31</f>
        <v>0.209442715164775</v>
      </c>
      <c r="P91" s="61"/>
      <c r="Q91" s="61"/>
    </row>
    <row r="92" customFormat="false" ht="14.25" hidden="false" customHeight="false" outlineLevel="0" collapsed="false">
      <c r="A92" s="60" t="s">
        <v>41</v>
      </c>
      <c r="B92" s="60"/>
      <c r="C92" s="60"/>
      <c r="D92" s="31" t="s">
        <v>118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61" t="n">
        <f aca="false">Q35</f>
        <v>0.104348971094771</v>
      </c>
      <c r="P92" s="61"/>
      <c r="Q92" s="61"/>
    </row>
    <row r="93" customFormat="false" ht="14.25" hidden="false" customHeight="false" outlineLevel="0" collapsed="false">
      <c r="A93" s="62" t="s">
        <v>44</v>
      </c>
      <c r="B93" s="62"/>
      <c r="C93" s="62"/>
      <c r="D93" s="63" t="s">
        <v>119</v>
      </c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4" t="n">
        <f aca="false">Q39</f>
        <v>0.617492461184755</v>
      </c>
      <c r="P93" s="64"/>
      <c r="Q93" s="64"/>
    </row>
    <row r="95" customFormat="false" ht="14.25" hidden="false" customHeight="false" outlineLevel="0" collapsed="false">
      <c r="A95" s="17" t="s">
        <v>120</v>
      </c>
    </row>
    <row r="97" customFormat="false" ht="14.25" hidden="false" customHeight="false" outlineLevel="0" collapsed="false">
      <c r="A97" s="65" t="s">
        <v>66</v>
      </c>
    </row>
    <row r="98" customFormat="false" ht="15" hidden="false" customHeight="false" outlineLevel="0" collapsed="false">
      <c r="G98" s="66" t="s">
        <v>6</v>
      </c>
      <c r="H98" s="66"/>
      <c r="I98" s="66"/>
      <c r="J98" s="66"/>
    </row>
    <row r="99" customFormat="false" ht="14.25" hidden="false" customHeight="false" outlineLevel="0" collapsed="false">
      <c r="G99" s="67" t="s">
        <v>121</v>
      </c>
      <c r="H99" s="67"/>
      <c r="I99" s="67"/>
      <c r="J99" s="67"/>
    </row>
    <row r="100" customFormat="false" ht="14.25" hidden="false" customHeight="false" outlineLevel="0" collapsed="false">
      <c r="C100" s="68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70"/>
    </row>
    <row r="101" customFormat="false" ht="14.25" hidden="false" customHeight="false" outlineLevel="0" collapsed="false">
      <c r="A101" s="71" t="s">
        <v>12</v>
      </c>
      <c r="B101" s="71"/>
      <c r="C101" s="71"/>
      <c r="D101" s="71"/>
      <c r="M101" s="71" t="s">
        <v>17</v>
      </c>
      <c r="N101" s="71"/>
      <c r="O101" s="71"/>
      <c r="P101" s="71"/>
    </row>
    <row r="102" customFormat="false" ht="14.25" hidden="false" customHeight="false" outlineLevel="0" collapsed="false">
      <c r="A102" s="72" t="s">
        <v>12</v>
      </c>
      <c r="B102" s="72"/>
      <c r="C102" s="72"/>
      <c r="D102" s="72"/>
      <c r="M102" s="72" t="s">
        <v>17</v>
      </c>
      <c r="N102" s="72"/>
      <c r="O102" s="72"/>
      <c r="P102" s="72"/>
    </row>
    <row r="103" customFormat="false" ht="14.25" hidden="false" customHeight="false" outlineLevel="0" collapsed="false">
      <c r="A103" s="73" t="s">
        <v>68</v>
      </c>
      <c r="B103" s="73"/>
      <c r="C103" s="73"/>
      <c r="D103" s="73"/>
      <c r="M103" s="73" t="s">
        <v>69</v>
      </c>
      <c r="N103" s="73"/>
      <c r="O103" s="73"/>
      <c r="P103" s="73"/>
    </row>
    <row r="104" customFormat="false" ht="14.25" hidden="false" customHeight="false" outlineLevel="0" collapsed="false">
      <c r="A104" s="73" t="s">
        <v>70</v>
      </c>
      <c r="B104" s="73"/>
      <c r="C104" s="73"/>
      <c r="D104" s="73"/>
      <c r="M104" s="73" t="s">
        <v>71</v>
      </c>
      <c r="N104" s="73"/>
      <c r="O104" s="73"/>
      <c r="P104" s="73"/>
    </row>
    <row r="105" customFormat="false" ht="14.25" hidden="false" customHeight="false" outlineLevel="0" collapsed="false">
      <c r="A105" s="74" t="s">
        <v>122</v>
      </c>
      <c r="B105" s="74"/>
      <c r="C105" s="74"/>
      <c r="D105" s="74"/>
      <c r="M105" s="75" t="s">
        <v>123</v>
      </c>
      <c r="N105" s="75"/>
      <c r="O105" s="75"/>
      <c r="P105" s="75"/>
    </row>
    <row r="106" customFormat="false" ht="14.25" hidden="false" customHeight="false" outlineLevel="0" collapsed="false">
      <c r="B106" s="76"/>
      <c r="N106" s="76"/>
    </row>
    <row r="107" customFormat="false" ht="14.25" hidden="false" customHeight="false" outlineLevel="0" collapsed="false">
      <c r="A107" s="71" t="s">
        <v>124</v>
      </c>
      <c r="B107" s="71"/>
      <c r="C107" s="71"/>
      <c r="D107" s="71"/>
      <c r="M107" s="77" t="s">
        <v>75</v>
      </c>
      <c r="N107" s="77"/>
      <c r="O107" s="77"/>
      <c r="P107" s="77"/>
    </row>
    <row r="110" customFormat="false" ht="14.25" hidden="false" customHeight="false" outlineLevel="0" collapsed="false">
      <c r="A110" s="17" t="s">
        <v>125</v>
      </c>
    </row>
    <row r="111" customFormat="false" ht="14.25" hidden="false" customHeight="false" outlineLevel="0" collapsed="false">
      <c r="A111" s="78" t="s">
        <v>126</v>
      </c>
    </row>
    <row r="113" customFormat="false" ht="14.25" hidden="false" customHeight="false" outlineLevel="0" collapsed="false">
      <c r="A113" s="57" t="s">
        <v>58</v>
      </c>
      <c r="B113" s="57"/>
      <c r="C113" s="57"/>
      <c r="D113" s="58" t="s">
        <v>127</v>
      </c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9" t="s">
        <v>104</v>
      </c>
      <c r="P113" s="59"/>
      <c r="Q113" s="59"/>
    </row>
    <row r="114" customFormat="false" ht="14.25" hidden="false" customHeight="false" outlineLevel="0" collapsed="false">
      <c r="A114" s="60" t="s">
        <v>31</v>
      </c>
      <c r="B114" s="60"/>
      <c r="C114" s="60"/>
      <c r="D114" s="31" t="s">
        <v>128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61" t="n">
        <f aca="false">Q55</f>
        <v>0.242761070329862</v>
      </c>
      <c r="P114" s="61"/>
      <c r="Q114" s="61"/>
    </row>
    <row r="115" customFormat="false" ht="14.25" hidden="false" customHeight="false" outlineLevel="0" collapsed="false">
      <c r="A115" s="60" t="s">
        <v>34</v>
      </c>
      <c r="B115" s="60"/>
      <c r="C115" s="60"/>
      <c r="D115" s="31" t="s">
        <v>129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61" t="n">
        <f aca="false">Q59</f>
        <v>0.218553232375419</v>
      </c>
      <c r="P115" s="61"/>
      <c r="Q115" s="61"/>
    </row>
    <row r="116" customFormat="false" ht="14.25" hidden="false" customHeight="false" outlineLevel="0" collapsed="false">
      <c r="A116" s="79" t="s">
        <v>38</v>
      </c>
      <c r="B116" s="79"/>
      <c r="C116" s="79"/>
      <c r="D116" s="80" t="s">
        <v>130</v>
      </c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1" t="n">
        <f aca="false">Q63</f>
        <v>0.543564443199596</v>
      </c>
      <c r="P116" s="81"/>
      <c r="Q116" s="81"/>
    </row>
    <row r="117" customFormat="false" ht="14.25" hidden="false" customHeight="false" outlineLevel="0" collapsed="false">
      <c r="A117" s="45" t="s">
        <v>41</v>
      </c>
      <c r="B117" s="45"/>
      <c r="C117" s="45"/>
      <c r="D117" s="82" t="s">
        <v>131</v>
      </c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3" t="n">
        <f aca="false">Q67</f>
        <v>0.273138401713219</v>
      </c>
      <c r="P117" s="83"/>
      <c r="Q117" s="83"/>
    </row>
    <row r="119" customFormat="false" ht="14.25" hidden="false" customHeight="false" outlineLevel="0" collapsed="false">
      <c r="A119" s="17" t="s">
        <v>132</v>
      </c>
    </row>
    <row r="121" customFormat="false" ht="15" hidden="false" customHeight="false" outlineLevel="0" collapsed="false">
      <c r="G121" s="66" t="s">
        <v>4</v>
      </c>
      <c r="H121" s="66"/>
      <c r="I121" s="66"/>
      <c r="J121" s="66"/>
    </row>
    <row r="122" customFormat="false" ht="14.25" hidden="false" customHeight="false" outlineLevel="0" collapsed="false">
      <c r="G122" s="67" t="s">
        <v>133</v>
      </c>
      <c r="H122" s="67"/>
      <c r="I122" s="67"/>
      <c r="J122" s="67"/>
    </row>
    <row r="123" customFormat="false" ht="14.25" hidden="false" customHeight="false" outlineLevel="0" collapsed="false">
      <c r="C123" s="68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70"/>
    </row>
    <row r="124" customFormat="false" ht="14.25" hidden="false" customHeight="false" outlineLevel="0" collapsed="false">
      <c r="A124" s="71" t="s">
        <v>10</v>
      </c>
      <c r="B124" s="71"/>
      <c r="C124" s="71"/>
      <c r="D124" s="71"/>
      <c r="G124" s="71" t="s">
        <v>20</v>
      </c>
      <c r="H124" s="71"/>
      <c r="I124" s="71"/>
      <c r="J124" s="71"/>
      <c r="M124" s="71" t="s">
        <v>15</v>
      </c>
      <c r="N124" s="71"/>
      <c r="O124" s="71"/>
      <c r="P124" s="71"/>
    </row>
    <row r="125" customFormat="false" ht="14.25" hidden="false" customHeight="false" outlineLevel="0" collapsed="false">
      <c r="A125" s="72" t="s">
        <v>10</v>
      </c>
      <c r="B125" s="72"/>
      <c r="C125" s="72"/>
      <c r="D125" s="72"/>
      <c r="G125" s="72" t="s">
        <v>20</v>
      </c>
      <c r="H125" s="72"/>
      <c r="I125" s="72"/>
      <c r="J125" s="72"/>
      <c r="M125" s="72" t="s">
        <v>15</v>
      </c>
      <c r="N125" s="72"/>
      <c r="O125" s="72"/>
      <c r="P125" s="72"/>
    </row>
    <row r="126" customFormat="false" ht="14.25" hidden="false" customHeight="false" outlineLevel="0" collapsed="false">
      <c r="A126" s="73" t="s">
        <v>84</v>
      </c>
      <c r="B126" s="73"/>
      <c r="C126" s="73"/>
      <c r="D126" s="73"/>
      <c r="G126" s="73" t="s">
        <v>85</v>
      </c>
      <c r="H126" s="73"/>
      <c r="I126" s="73"/>
      <c r="J126" s="73"/>
      <c r="M126" s="73" t="s">
        <v>85</v>
      </c>
      <c r="N126" s="73"/>
      <c r="O126" s="73"/>
      <c r="P126" s="73"/>
    </row>
    <row r="127" customFormat="false" ht="14.25" hidden="false" customHeight="false" outlineLevel="0" collapsed="false">
      <c r="A127" s="73" t="s">
        <v>86</v>
      </c>
      <c r="B127" s="73"/>
      <c r="C127" s="73"/>
      <c r="D127" s="73"/>
      <c r="G127" s="73" t="s">
        <v>87</v>
      </c>
      <c r="H127" s="73"/>
      <c r="I127" s="73"/>
      <c r="J127" s="73"/>
      <c r="M127" s="73" t="s">
        <v>88</v>
      </c>
      <c r="N127" s="73"/>
      <c r="O127" s="73"/>
      <c r="P127" s="73"/>
    </row>
    <row r="128" customFormat="false" ht="14.25" hidden="false" customHeight="false" outlineLevel="0" collapsed="false">
      <c r="A128" s="75" t="s">
        <v>123</v>
      </c>
      <c r="B128" s="75"/>
      <c r="C128" s="75"/>
      <c r="D128" s="75"/>
      <c r="G128" s="75" t="s">
        <v>123</v>
      </c>
      <c r="H128" s="75"/>
      <c r="I128" s="75"/>
      <c r="J128" s="75"/>
      <c r="M128" s="75" t="s">
        <v>123</v>
      </c>
      <c r="N128" s="75"/>
      <c r="O128" s="75"/>
      <c r="P128" s="75"/>
    </row>
    <row r="129" customFormat="false" ht="14.25" hidden="false" customHeight="false" outlineLevel="0" collapsed="false">
      <c r="B129" s="76"/>
      <c r="H129" s="76"/>
      <c r="N129" s="76"/>
    </row>
    <row r="130" customFormat="false" ht="14.25" hidden="false" customHeight="false" outlineLevel="0" collapsed="false">
      <c r="A130" s="77" t="s">
        <v>89</v>
      </c>
      <c r="B130" s="77"/>
      <c r="C130" s="77"/>
      <c r="D130" s="77"/>
      <c r="G130" s="77" t="s">
        <v>89</v>
      </c>
      <c r="H130" s="77"/>
      <c r="I130" s="77"/>
      <c r="J130" s="77"/>
      <c r="M130" s="77" t="s">
        <v>75</v>
      </c>
      <c r="N130" s="77"/>
      <c r="O130" s="77"/>
      <c r="P130" s="77"/>
    </row>
    <row r="132" customFormat="false" ht="14.25" hidden="false" customHeight="false" outlineLevel="0" collapsed="false">
      <c r="A132" s="65" t="s">
        <v>90</v>
      </c>
    </row>
    <row r="133" customFormat="false" ht="14.25" hidden="false" customHeight="false" outlineLevel="0" collapsed="false">
      <c r="A133" s="57" t="s">
        <v>91</v>
      </c>
      <c r="B133" s="58" t="s">
        <v>92</v>
      </c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9" t="s">
        <v>93</v>
      </c>
      <c r="N133" s="59"/>
      <c r="O133" s="59"/>
      <c r="P133" s="59"/>
      <c r="Q133" s="59"/>
    </row>
    <row r="134" customFormat="false" ht="14.25" hidden="false" customHeight="false" outlineLevel="0" collapsed="false">
      <c r="A134" s="79" t="s">
        <v>94</v>
      </c>
      <c r="B134" s="31" t="s">
        <v>134</v>
      </c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84" t="s">
        <v>96</v>
      </c>
      <c r="N134" s="84"/>
      <c r="O134" s="84"/>
      <c r="P134" s="84"/>
      <c r="Q134" s="84"/>
    </row>
    <row r="135" customFormat="false" ht="14.25" hidden="false" customHeight="false" outlineLevel="0" collapsed="false">
      <c r="A135" s="62" t="s">
        <v>97</v>
      </c>
      <c r="B135" s="82" t="s">
        <v>135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5" t="s">
        <v>96</v>
      </c>
      <c r="N135" s="85"/>
      <c r="O135" s="85"/>
      <c r="P135" s="85"/>
      <c r="Q135" s="85"/>
    </row>
  </sheetData>
  <mergeCells count="90">
    <mergeCell ref="A1:G1"/>
    <mergeCell ref="A17:G20"/>
    <mergeCell ref="A21:G21"/>
    <mergeCell ref="M22:N22"/>
    <mergeCell ref="P22:Q22"/>
    <mergeCell ref="A44:G44"/>
    <mergeCell ref="M54:N54"/>
    <mergeCell ref="P54:Q54"/>
    <mergeCell ref="A77:Q77"/>
    <mergeCell ref="A78:C78"/>
    <mergeCell ref="D78:N78"/>
    <mergeCell ref="A79:C79"/>
    <mergeCell ref="D79:N79"/>
    <mergeCell ref="A80:C80"/>
    <mergeCell ref="D80:N80"/>
    <mergeCell ref="A83:Q83"/>
    <mergeCell ref="A84:Q84"/>
    <mergeCell ref="A88:C88"/>
    <mergeCell ref="D88:N88"/>
    <mergeCell ref="O88:Q88"/>
    <mergeCell ref="A89:C89"/>
    <mergeCell ref="D89:N89"/>
    <mergeCell ref="O89:Q89"/>
    <mergeCell ref="A90:C90"/>
    <mergeCell ref="D90:N90"/>
    <mergeCell ref="O90:Q90"/>
    <mergeCell ref="A91:C91"/>
    <mergeCell ref="D91:N91"/>
    <mergeCell ref="O91:Q91"/>
    <mergeCell ref="A92:C92"/>
    <mergeCell ref="D92:N92"/>
    <mergeCell ref="O92:Q92"/>
    <mergeCell ref="A93:C93"/>
    <mergeCell ref="D93:N93"/>
    <mergeCell ref="O93:Q93"/>
    <mergeCell ref="G98:J98"/>
    <mergeCell ref="G99:J99"/>
    <mergeCell ref="A101:D101"/>
    <mergeCell ref="M101:P101"/>
    <mergeCell ref="A102:D102"/>
    <mergeCell ref="M102:P102"/>
    <mergeCell ref="A103:D103"/>
    <mergeCell ref="M103:P103"/>
    <mergeCell ref="A104:D104"/>
    <mergeCell ref="M104:P104"/>
    <mergeCell ref="A105:D105"/>
    <mergeCell ref="M105:P105"/>
    <mergeCell ref="A107:D107"/>
    <mergeCell ref="M107:P107"/>
    <mergeCell ref="A113:C113"/>
    <mergeCell ref="D113:N113"/>
    <mergeCell ref="O113:Q113"/>
    <mergeCell ref="A114:C114"/>
    <mergeCell ref="D114:N114"/>
    <mergeCell ref="O114:Q114"/>
    <mergeCell ref="A115:C115"/>
    <mergeCell ref="D115:N115"/>
    <mergeCell ref="O115:Q115"/>
    <mergeCell ref="A116:C116"/>
    <mergeCell ref="D116:N116"/>
    <mergeCell ref="O116:Q116"/>
    <mergeCell ref="A117:C117"/>
    <mergeCell ref="D117:N117"/>
    <mergeCell ref="O117:Q117"/>
    <mergeCell ref="G121:J121"/>
    <mergeCell ref="G122:J122"/>
    <mergeCell ref="A124:D124"/>
    <mergeCell ref="G124:J124"/>
    <mergeCell ref="M124:P124"/>
    <mergeCell ref="A125:D125"/>
    <mergeCell ref="G125:J125"/>
    <mergeCell ref="M125:P125"/>
    <mergeCell ref="A126:D126"/>
    <mergeCell ref="G126:J126"/>
    <mergeCell ref="M126:P126"/>
    <mergeCell ref="A127:D127"/>
    <mergeCell ref="G127:J127"/>
    <mergeCell ref="M127:P127"/>
    <mergeCell ref="A128:D128"/>
    <mergeCell ref="G128:J128"/>
    <mergeCell ref="M128:P128"/>
    <mergeCell ref="A130:D130"/>
    <mergeCell ref="G130:J130"/>
    <mergeCell ref="M130:P130"/>
    <mergeCell ref="B133:L133"/>
    <mergeCell ref="M133:Q133"/>
    <mergeCell ref="B134:L134"/>
    <mergeCell ref="M134:Q134"/>
    <mergeCell ref="B135:L135"/>
    <mergeCell ref="M135:Q1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LibreOffice/26.2.2.2$Linux_X86_64 LibreOffice_project/b8d3d8168498fa6cc231901342a3b8d72dd2bb7e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2020-04-08T23:46:18Z</dcterms:created>
  <dc:creator>Asus</dc:creator>
  <dc:description/>
  <dc:language>en-GB</dc:language>
  <cp:lastModifiedBy/>
  <dcterms:modified xsi:type="dcterms:W3CDTF">2026-04-22T22:13:25Z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